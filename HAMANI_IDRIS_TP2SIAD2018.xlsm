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320AAD7A-AEEB-3B57-35EE-6C7AAB037B02}"/>
  <workbookPr codeName="ThisWorkbook" defaultThemeVersion="124226"/>
  <bookViews>
    <workbookView xWindow="-15" yWindow="4650" windowWidth="17265" windowHeight="4695" activeTab="1"/>
  </bookViews>
  <sheets>
    <sheet name="Identification" sheetId="1" r:id="rId1"/>
    <sheet name="Notation" sheetId="2" r:id="rId2"/>
  </sheets>
  <definedNames>
    <definedName name="_xlnm.Print_Area" localSheetId="0">Identification!$A$1:$B$31</definedName>
    <definedName name="_xlnm.Print_Area" localSheetId="1">Notation!$A$1:$K$43</definedName>
  </definedNames>
  <calcPr calcId="125725"/>
</workbook>
</file>

<file path=xl/calcChain.xml><?xml version="1.0" encoding="utf-8"?>
<calcChain xmlns="http://schemas.openxmlformats.org/spreadsheetml/2006/main">
  <c r="C1" i="2"/>
  <c r="S6" l="1"/>
  <c r="S5"/>
  <c r="R6"/>
  <c r="R5"/>
  <c r="Q6"/>
  <c r="P6"/>
  <c r="P5"/>
  <c r="N6"/>
  <c r="N5"/>
  <c r="M6"/>
  <c r="O6" s="1"/>
  <c r="M5"/>
  <c r="O5" s="1"/>
  <c r="D2"/>
  <c r="N18" l="1"/>
  <c r="S18"/>
  <c r="S28"/>
  <c r="S27"/>
  <c r="S26"/>
  <c r="S25"/>
  <c r="S24"/>
  <c r="S23"/>
  <c r="S22"/>
  <c r="S21"/>
  <c r="S20"/>
  <c r="S19"/>
  <c r="S17"/>
  <c r="S16"/>
  <c r="S15"/>
  <c r="S14"/>
  <c r="S13"/>
  <c r="S12"/>
  <c r="S11"/>
  <c r="S10"/>
  <c r="S9"/>
  <c r="S8"/>
  <c r="S7"/>
  <c r="R25"/>
  <c r="R26"/>
  <c r="R18"/>
  <c r="R15"/>
  <c r="R16"/>
  <c r="R20"/>
  <c r="R21"/>
  <c r="R12"/>
  <c r="R13"/>
  <c r="R14"/>
  <c r="R17"/>
  <c r="R19"/>
  <c r="R24"/>
  <c r="R27"/>
  <c r="R23"/>
  <c r="R28"/>
  <c r="R7"/>
  <c r="R8"/>
  <c r="R9"/>
  <c r="R10"/>
  <c r="N7"/>
  <c r="N8"/>
  <c r="N9"/>
  <c r="N10"/>
  <c r="N12"/>
  <c r="N13"/>
  <c r="N14"/>
  <c r="N15"/>
  <c r="N16"/>
  <c r="N17"/>
  <c r="I17" s="1"/>
  <c r="Q17" s="1"/>
  <c r="N19"/>
  <c r="N20"/>
  <c r="N21"/>
  <c r="N23"/>
  <c r="N24"/>
  <c r="N25"/>
  <c r="N26"/>
  <c r="I26" s="1"/>
  <c r="Q26" s="1"/>
  <c r="N27"/>
  <c r="N28"/>
  <c r="M24"/>
  <c r="O24" s="1"/>
  <c r="M25"/>
  <c r="O25" s="1"/>
  <c r="M26"/>
  <c r="O26" s="1"/>
  <c r="M27"/>
  <c r="O27" s="1"/>
  <c r="P7"/>
  <c r="P8"/>
  <c r="P9"/>
  <c r="P10"/>
  <c r="P12"/>
  <c r="P13"/>
  <c r="P14"/>
  <c r="P15"/>
  <c r="P16"/>
  <c r="P17"/>
  <c r="P18"/>
  <c r="P19"/>
  <c r="P20"/>
  <c r="P21"/>
  <c r="P23"/>
  <c r="P24"/>
  <c r="P25"/>
  <c r="P26"/>
  <c r="P27"/>
  <c r="P28"/>
  <c r="M8"/>
  <c r="M7"/>
  <c r="O7" s="1"/>
  <c r="M28"/>
  <c r="O28" s="1"/>
  <c r="M15"/>
  <c r="O15" s="1"/>
  <c r="M16"/>
  <c r="O16" s="1"/>
  <c r="M20"/>
  <c r="O20" s="1"/>
  <c r="M21"/>
  <c r="O21" s="1"/>
  <c r="M9"/>
  <c r="O9" s="1"/>
  <c r="M23"/>
  <c r="O23" s="1"/>
  <c r="M13"/>
  <c r="O13" s="1"/>
  <c r="M14"/>
  <c r="O14" s="1"/>
  <c r="M17"/>
  <c r="O17" s="1"/>
  <c r="M18"/>
  <c r="O18" s="1"/>
  <c r="M19"/>
  <c r="O19" s="1"/>
  <c r="M12"/>
  <c r="O12" s="1"/>
  <c r="M10"/>
  <c r="O10" s="1"/>
  <c r="K29"/>
  <c r="G32"/>
  <c r="C2"/>
  <c r="A1"/>
  <c r="E43"/>
  <c r="I24" l="1"/>
  <c r="Q24" s="1"/>
  <c r="I27"/>
  <c r="Q27" s="1"/>
  <c r="I23"/>
  <c r="Q23" s="1"/>
  <c r="I20"/>
  <c r="Q20" s="1"/>
  <c r="I21"/>
  <c r="Q21" s="1"/>
  <c r="I25"/>
  <c r="Q25" s="1"/>
  <c r="N11"/>
  <c r="M11" s="1"/>
  <c r="O8"/>
  <c r="I15"/>
  <c r="Q15" s="1"/>
  <c r="I19"/>
  <c r="Q19" s="1"/>
  <c r="P11"/>
  <c r="I9"/>
  <c r="Q9" s="1"/>
  <c r="I10"/>
  <c r="Q10" s="1"/>
  <c r="I14"/>
  <c r="Q14" s="1"/>
  <c r="I28"/>
  <c r="Q28" s="1"/>
  <c r="I13"/>
  <c r="Q13" s="1"/>
  <c r="I8"/>
  <c r="Q8" s="1"/>
  <c r="P22"/>
  <c r="P4"/>
  <c r="I7"/>
  <c r="Q7" s="1"/>
  <c r="R29"/>
  <c r="R22"/>
  <c r="I12"/>
  <c r="Q12" s="1"/>
  <c r="I16"/>
  <c r="Q16" s="1"/>
  <c r="I18"/>
  <c r="Q18" s="1"/>
  <c r="N4"/>
  <c r="M4" s="1"/>
  <c r="R11"/>
  <c r="I5"/>
  <c r="Q5" s="1"/>
  <c r="N22"/>
  <c r="M22" s="1"/>
  <c r="E29" l="1"/>
  <c r="Q29"/>
  <c r="E32" s="1"/>
  <c r="R30"/>
  <c r="J29" s="1"/>
  <c r="N29"/>
  <c r="C35" l="1"/>
  <c r="E30"/>
</calcChain>
</file>

<file path=xl/sharedStrings.xml><?xml version="1.0" encoding="utf-8"?>
<sst xmlns="http://schemas.openxmlformats.org/spreadsheetml/2006/main" count="105" uniqueCount="81">
  <si>
    <t>Epreuve :</t>
  </si>
  <si>
    <t>Diplôme :</t>
  </si>
  <si>
    <t>Nom du candidat :</t>
  </si>
  <si>
    <t>Prénom du candidat :</t>
  </si>
  <si>
    <t>Date de l'évaluation :</t>
  </si>
  <si>
    <t>Identifications</t>
  </si>
  <si>
    <t>/20</t>
  </si>
  <si>
    <t>Compétences évaluées</t>
  </si>
  <si>
    <t xml:space="preserve"> /20</t>
  </si>
  <si>
    <t>Appréciation globale</t>
  </si>
  <si>
    <t>Poids du critère</t>
  </si>
  <si>
    <t>Poids de la compétence</t>
  </si>
  <si>
    <t xml:space="preserve">Note brute </t>
  </si>
  <si>
    <t>Signatures</t>
  </si>
  <si>
    <t>Date</t>
  </si>
  <si>
    <t>non</t>
  </si>
  <si>
    <t>Taux pondéré de compétences et indicateurs évalués :</t>
  </si>
  <si>
    <t>Note sur 20 proposée au jury* :</t>
  </si>
  <si>
    <t>Note x coefficient :</t>
  </si>
  <si>
    <t>Lieu de l'évaluation :</t>
  </si>
  <si>
    <t>Résultats obtenus</t>
  </si>
  <si>
    <t>Noms des Evaluateurs</t>
  </si>
  <si>
    <t>Coefficient :</t>
  </si>
  <si>
    <t>* La note proposée, arrondie au demi point, est décidée par les évaluateurs à partir de la note brute qui peut être modulée de + 0 à + 1 point en fonction de la réactivité du candidat.</t>
  </si>
  <si>
    <t>Travail demandé au candidat</t>
  </si>
  <si>
    <r>
      <t xml:space="preserve">Indicateurs de performance                                                               </t>
    </r>
    <r>
      <rPr>
        <b/>
        <i/>
        <sz val="9"/>
        <rFont val="Arial"/>
        <family val="2"/>
      </rPr>
      <t xml:space="preserve"> </t>
    </r>
    <r>
      <rPr>
        <sz val="9"/>
        <rFont val="Arial"/>
        <family val="2"/>
      </rPr>
      <t>évaluation</t>
    </r>
  </si>
  <si>
    <t>Note brute obtenue par calcul automatique (attention si le taux est &lt;50%, le calcul n'est pas proposé) :</t>
  </si>
  <si>
    <t>Les outils de recherche documentaire sont bien choisis</t>
  </si>
  <si>
    <t>Les techniques de recherche documentaire sont maîtrisées</t>
  </si>
  <si>
    <t>Les outils de communication sont maîtrisés</t>
  </si>
  <si>
    <t></t>
  </si>
  <si>
    <t>I</t>
  </si>
  <si>
    <t>Î</t>
  </si>
  <si>
    <r>
      <t>ATTENTION,</t>
    </r>
    <r>
      <rPr>
        <i/>
        <sz val="10"/>
        <color indexed="18"/>
        <rFont val="Arial"/>
        <family val="2"/>
      </rPr>
      <t xml:space="preserve"> si le symbole </t>
    </r>
    <r>
      <rPr>
        <b/>
        <i/>
        <sz val="10"/>
        <color indexed="10"/>
        <rFont val="Arial"/>
        <family val="2"/>
      </rPr>
      <t xml:space="preserve">◄ </t>
    </r>
    <r>
      <rPr>
        <i/>
        <sz val="10"/>
        <color indexed="18"/>
        <rFont val="Arial"/>
        <family val="2"/>
      </rPr>
      <t>apparait dans cette colonne c'est qu'il y a plus d'une valeur donnée à l'indicateur, il faut alors choisir laquelle retenir, ou bien que l'indicateur est mentionné "non" évalué :</t>
    </r>
  </si>
  <si>
    <t>Ingénieur d'état en informatique</t>
  </si>
  <si>
    <t xml:space="preserve">Soutenance Projet de fin d'étude </t>
  </si>
  <si>
    <t>Option :</t>
  </si>
  <si>
    <t xml:space="preserve">Promotion : </t>
  </si>
  <si>
    <t>Matricule :</t>
  </si>
  <si>
    <t>Intitulé du mémoire :</t>
  </si>
  <si>
    <t>x</t>
  </si>
  <si>
    <t xml:space="preserve">B - Exposé oral </t>
  </si>
  <si>
    <t>B3.2 - Présentation</t>
  </si>
  <si>
    <t>B4 - Réponse aux questions</t>
  </si>
  <si>
    <t xml:space="preserve"> C - Rapport</t>
  </si>
  <si>
    <t xml:space="preserve"> D - Commission de suivi</t>
  </si>
  <si>
    <t xml:space="preserve"> C1 - Contenu du rapport</t>
  </si>
  <si>
    <t>C2 - Présentation du rapport</t>
  </si>
  <si>
    <t>D1 - Méthodologie de travail</t>
  </si>
  <si>
    <t>D2 - Engagement</t>
  </si>
  <si>
    <t>Cette grille est destinée à aider à la fixation d’une note qui prend en compte l’ensemble des acquis d’apprentissage visés par la présentation orale</t>
  </si>
  <si>
    <t>Maîtrise du sujet</t>
  </si>
  <si>
    <t xml:space="preserve">Qualité de l'argumentation, esprit critique, discussions </t>
  </si>
  <si>
    <t>Qualité des supports de la présentation</t>
  </si>
  <si>
    <t xml:space="preserve">caractère didactique </t>
  </si>
  <si>
    <t>Expression orale lors de la présentation</t>
  </si>
  <si>
    <t>Fluidité, Aissance, Maîtrise de la langue</t>
  </si>
  <si>
    <t>Cette grille est destinée à aider à la fixation d’une note qui prend en compte la capacité de l'étudiant à répondre aux questions posées par les membres du jury</t>
  </si>
  <si>
    <t xml:space="preserve">Clarté du texte et qualité de rédaction </t>
  </si>
  <si>
    <t>Français écrit selon le respect des règles de grammaire et d'orthographe</t>
  </si>
  <si>
    <t xml:space="preserve">Conformité de la bibliographie, des références selon les règles et les exigences du domaine d'études </t>
  </si>
  <si>
    <t>Respect des normes, des abréviations et cohérence du système d'unités de mesure utilisé, etc.</t>
  </si>
  <si>
    <t>Présentation générale (visuelle) du document</t>
  </si>
  <si>
    <t>Formulation claires des objectifs ou des hypothèses et en lien avec les travaux dominants dans le domaine</t>
  </si>
  <si>
    <t>Valeur et justification de la méthodologie et des techniques utilisées</t>
  </si>
  <si>
    <t>Capacité de synthèse, d’analyse critique et rigueur de l’argumentation</t>
  </si>
  <si>
    <t>Qualité des résultats obtenus</t>
  </si>
  <si>
    <t>Originalité du travail (innovation : sujet, approche, méthodologie)</t>
  </si>
  <si>
    <t>Cette grille est destinée à aider à la fixation d’une note qui prend en compte la richesse du rapport en terme de contenu…</t>
  </si>
  <si>
    <t>Cette grille est destinée à aider à la fixation d’une note qui prend en compte la qualité (visuelle) du rapport</t>
  </si>
  <si>
    <t>Cette grille est destinée à aider à la fixation d’une note qui prend en compte la méthodolgie suivie pendant le stage</t>
  </si>
  <si>
    <t>Cette grille est destinée à aider à la fixation d’une note qui prend en compte l'engagement de l'étudiant pendant le stage</t>
  </si>
  <si>
    <t>Présence dans les réunions</t>
  </si>
  <si>
    <t>Respect des plannings</t>
  </si>
  <si>
    <t xml:space="preserve">Note du promoteur </t>
  </si>
  <si>
    <t>SIT</t>
  </si>
  <si>
    <t>2014-2015</t>
  </si>
  <si>
    <t xml:space="preserve">HAMANI </t>
  </si>
  <si>
    <t>Sid Ahmed</t>
  </si>
  <si>
    <t>014/0162</t>
  </si>
  <si>
    <t>BSC</t>
  </si>
</sst>
</file>

<file path=xl/styles.xml><?xml version="1.0" encoding="utf-8"?>
<styleSheet xmlns="http://schemas.openxmlformats.org/spreadsheetml/2006/main">
  <numFmts count="1">
    <numFmt numFmtId="164" formatCode="0.0"/>
  </numFmts>
  <fonts count="34">
    <font>
      <sz val="10"/>
      <name val="Arial"/>
    </font>
    <font>
      <sz val="9"/>
      <name val="Arial Narrow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8"/>
      <name val="Arial"/>
    </font>
    <font>
      <b/>
      <i/>
      <sz val="10"/>
      <name val="Arial"/>
      <family val="2"/>
    </font>
    <font>
      <b/>
      <sz val="12"/>
      <color indexed="10"/>
      <name val="Arial"/>
      <family val="2"/>
    </font>
    <font>
      <sz val="9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sz val="9"/>
      <color indexed="12"/>
      <name val="Arial"/>
      <family val="2"/>
    </font>
    <font>
      <b/>
      <sz val="9"/>
      <color indexed="12"/>
      <name val="Arial"/>
      <family val="2"/>
    </font>
    <font>
      <i/>
      <sz val="10"/>
      <color indexed="12"/>
      <name val="Arial"/>
      <family val="2"/>
    </font>
    <font>
      <sz val="9"/>
      <color indexed="9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i/>
      <sz val="8"/>
      <name val="Arial"/>
      <family val="2"/>
    </font>
    <font>
      <b/>
      <sz val="7"/>
      <color indexed="9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sz val="9"/>
      <color indexed="10"/>
      <name val="Arial Narrow"/>
      <family val="2"/>
    </font>
    <font>
      <sz val="8"/>
      <color indexed="10"/>
      <name val="Arial"/>
      <family val="2"/>
    </font>
    <font>
      <b/>
      <sz val="10"/>
      <color indexed="12"/>
      <name val="Wingdings"/>
      <charset val="2"/>
    </font>
    <font>
      <b/>
      <sz val="10"/>
      <color indexed="12"/>
      <name val="Wingdings 3"/>
      <family val="1"/>
      <charset val="2"/>
    </font>
    <font>
      <i/>
      <sz val="10"/>
      <color indexed="18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3999755851924192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 applyProtection="1">
      <alignment vertical="top" wrapText="1"/>
      <protection locked="0"/>
    </xf>
    <xf numFmtId="0" fontId="3" fillId="0" borderId="3" xfId="0" applyFont="1" applyBorder="1" applyAlignment="1">
      <alignment horizontal="center" vertical="center"/>
    </xf>
    <xf numFmtId="9" fontId="12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right" vertical="center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top" wrapText="1"/>
      <protection locked="0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 applyProtection="1">
      <alignment vertical="top" wrapText="1"/>
      <protection locked="0"/>
    </xf>
    <xf numFmtId="0" fontId="9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9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/>
    <xf numFmtId="0" fontId="17" fillId="0" borderId="4" xfId="0" applyFont="1" applyFill="1" applyBorder="1" applyAlignment="1" applyProtection="1">
      <alignment horizontal="center" vertical="center"/>
      <protection locked="0"/>
    </xf>
    <xf numFmtId="0" fontId="7" fillId="0" borderId="0" xfId="0" applyFont="1" applyBorder="1" applyAlignment="1">
      <alignment horizontal="right" vertical="center"/>
    </xf>
    <xf numFmtId="0" fontId="2" fillId="0" borderId="4" xfId="0" applyFont="1" applyFill="1" applyBorder="1" applyAlignment="1" applyProtection="1">
      <alignment horizontal="center" vertical="center" wrapText="1"/>
      <protection locked="0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  <xf numFmtId="0" fontId="0" fillId="0" borderId="8" xfId="0" applyBorder="1" applyAlignment="1">
      <alignment horizontal="right" vertical="center" wrapText="1"/>
    </xf>
    <xf numFmtId="0" fontId="3" fillId="0" borderId="9" xfId="0" applyFont="1" applyBorder="1" applyAlignment="1">
      <alignment vertical="center" wrapText="1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left" vertical="center" wrapText="1"/>
    </xf>
    <xf numFmtId="0" fontId="12" fillId="0" borderId="12" xfId="0" applyFont="1" applyBorder="1" applyAlignment="1" applyProtection="1">
      <alignment horizontal="left" vertical="center" wrapText="1"/>
      <protection locked="0"/>
    </xf>
    <xf numFmtId="0" fontId="13" fillId="0" borderId="12" xfId="0" applyFont="1" applyBorder="1" applyAlignment="1" applyProtection="1">
      <alignment horizontal="left" vertical="center" wrapText="1"/>
      <protection locked="0"/>
    </xf>
    <xf numFmtId="15" fontId="12" fillId="0" borderId="12" xfId="0" applyNumberFormat="1" applyFont="1" applyBorder="1" applyAlignment="1" applyProtection="1">
      <alignment horizontal="left" vertical="center" wrapText="1"/>
      <protection locked="0"/>
    </xf>
    <xf numFmtId="0" fontId="0" fillId="0" borderId="13" xfId="0" applyBorder="1" applyAlignment="1">
      <alignment horizontal="left" vertical="center" wrapText="1"/>
    </xf>
    <xf numFmtId="0" fontId="12" fillId="0" borderId="14" xfId="0" applyFont="1" applyBorder="1" applyAlignment="1" applyProtection="1">
      <alignment horizontal="left" vertical="center" wrapText="1"/>
      <protection locked="0"/>
    </xf>
    <xf numFmtId="0" fontId="3" fillId="0" borderId="12" xfId="0" applyFont="1" applyBorder="1" applyAlignment="1" applyProtection="1">
      <alignment horizontal="left" vertical="center" wrapText="1"/>
    </xf>
    <xf numFmtId="0" fontId="13" fillId="0" borderId="0" xfId="0" applyFont="1" applyBorder="1" applyAlignment="1">
      <alignment horizontal="right" vertical="center"/>
    </xf>
    <xf numFmtId="0" fontId="2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4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17" fillId="2" borderId="4" xfId="0" applyFont="1" applyFill="1" applyBorder="1" applyAlignment="1" applyProtection="1">
      <alignment horizontal="center" vertical="center"/>
      <protection locked="0"/>
    </xf>
    <xf numFmtId="0" fontId="17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15" xfId="0" applyFont="1" applyFill="1" applyBorder="1" applyAlignment="1" applyProtection="1">
      <alignment horizontal="center" vertical="center" wrapText="1"/>
      <protection locked="0"/>
    </xf>
    <xf numFmtId="0" fontId="2" fillId="2" borderId="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9" fontId="18" fillId="0" borderId="0" xfId="0" applyNumberFormat="1" applyFont="1" applyBorder="1" applyAlignment="1">
      <alignment horizontal="center" vertical="center"/>
    </xf>
    <xf numFmtId="9" fontId="19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15" fillId="0" borderId="10" xfId="0" applyFon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vertical="center"/>
    </xf>
    <xf numFmtId="10" fontId="22" fillId="0" borderId="0" xfId="0" applyNumberFormat="1" applyFont="1" applyBorder="1" applyAlignment="1">
      <alignment vertical="center"/>
    </xf>
    <xf numFmtId="2" fontId="23" fillId="0" borderId="0" xfId="0" applyNumberFormat="1" applyFont="1" applyBorder="1" applyAlignment="1">
      <alignment horizontal="center" vertical="center"/>
    </xf>
    <xf numFmtId="9" fontId="21" fillId="0" borderId="0" xfId="0" applyNumberFormat="1" applyFont="1" applyBorder="1" applyAlignment="1">
      <alignment vertical="center"/>
    </xf>
    <xf numFmtId="10" fontId="22" fillId="0" borderId="0" xfId="0" applyNumberFormat="1" applyFont="1"/>
    <xf numFmtId="0" fontId="17" fillId="2" borderId="16" xfId="0" applyFont="1" applyFill="1" applyBorder="1" applyAlignment="1" applyProtection="1">
      <alignment horizontal="center" vertical="center"/>
      <protection locked="0"/>
    </xf>
    <xf numFmtId="0" fontId="17" fillId="0" borderId="16" xfId="0" applyFont="1" applyFill="1" applyBorder="1" applyAlignment="1" applyProtection="1">
      <alignment horizontal="center" vertical="center"/>
      <protection locked="0"/>
    </xf>
    <xf numFmtId="9" fontId="12" fillId="0" borderId="0" xfId="0" applyNumberFormat="1" applyFont="1" applyBorder="1" applyAlignment="1">
      <alignment horizontal="right" vertical="center"/>
    </xf>
    <xf numFmtId="0" fontId="17" fillId="2" borderId="20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24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9" fontId="25" fillId="0" borderId="0" xfId="0" applyNumberFormat="1" applyFont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left" vertical="center"/>
    </xf>
    <xf numFmtId="0" fontId="26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28" fillId="0" borderId="0" xfId="0" applyFont="1" applyFill="1" applyBorder="1" applyAlignment="1" applyProtection="1">
      <alignment vertical="top" wrapText="1"/>
    </xf>
    <xf numFmtId="0" fontId="28" fillId="0" borderId="0" xfId="0" applyFont="1" applyFill="1" applyBorder="1" applyAlignment="1" applyProtection="1">
      <alignment horizontal="center" vertical="top" wrapText="1"/>
    </xf>
    <xf numFmtId="14" fontId="26" fillId="0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29" fillId="0" borderId="0" xfId="0" applyFont="1" applyFill="1" applyBorder="1" applyAlignment="1" applyProtection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22" fillId="0" borderId="0" xfId="0" applyFont="1"/>
    <xf numFmtId="0" fontId="31" fillId="0" borderId="0" xfId="0" applyFont="1" applyFill="1" applyBorder="1" applyAlignment="1" applyProtection="1">
      <alignment horizontal="center" vertical="center" wrapText="1"/>
    </xf>
    <xf numFmtId="0" fontId="23" fillId="0" borderId="0" xfId="0" applyFont="1" applyBorder="1" applyAlignment="1">
      <alignment vertical="center"/>
    </xf>
    <xf numFmtId="0" fontId="2" fillId="2" borderId="16" xfId="0" applyFont="1" applyFill="1" applyBorder="1" applyAlignment="1">
      <alignment vertical="center" wrapText="1"/>
    </xf>
    <xf numFmtId="0" fontId="2" fillId="0" borderId="16" xfId="0" applyFont="1" applyFill="1" applyBorder="1" applyAlignment="1">
      <alignment vertical="center" wrapText="1"/>
    </xf>
    <xf numFmtId="0" fontId="2" fillId="0" borderId="17" xfId="0" applyFont="1" applyFill="1" applyBorder="1" applyAlignment="1">
      <alignment vertical="center" wrapText="1"/>
    </xf>
    <xf numFmtId="0" fontId="2" fillId="2" borderId="19" xfId="0" applyFont="1" applyFill="1" applyBorder="1" applyAlignment="1">
      <alignment horizontal="left" vertical="center" wrapText="1"/>
    </xf>
    <xf numFmtId="0" fontId="2" fillId="0" borderId="19" xfId="0" applyFont="1" applyFill="1" applyBorder="1" applyAlignment="1">
      <alignment horizontal="left" vertical="center" wrapText="1"/>
    </xf>
    <xf numFmtId="0" fontId="2" fillId="2" borderId="22" xfId="0" applyFont="1" applyFill="1" applyBorder="1" applyAlignment="1">
      <alignment vertical="center" wrapText="1"/>
    </xf>
    <xf numFmtId="0" fontId="2" fillId="2" borderId="17" xfId="0" applyFont="1" applyFill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33" fillId="0" borderId="12" xfId="0" applyFont="1" applyBorder="1" applyAlignment="1" applyProtection="1">
      <alignment horizontal="left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26" xfId="0" applyFont="1" applyFill="1" applyBorder="1" applyAlignment="1">
      <alignment horizontal="center" vertical="center" wrapText="1"/>
    </xf>
    <xf numFmtId="0" fontId="3" fillId="4" borderId="23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0" fillId="0" borderId="27" xfId="0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0" fontId="4" fillId="0" borderId="29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14" fontId="14" fillId="0" borderId="0" xfId="0" applyNumberFormat="1" applyFont="1" applyBorder="1" applyAlignment="1">
      <alignment horizontal="center" vertical="center"/>
    </xf>
    <xf numFmtId="14" fontId="12" fillId="0" borderId="33" xfId="0" applyNumberFormat="1" applyFont="1" applyBorder="1" applyAlignment="1" applyProtection="1">
      <alignment horizontal="center" vertical="center"/>
      <protection locked="0"/>
    </xf>
    <xf numFmtId="14" fontId="12" fillId="0" borderId="18" xfId="0" applyNumberFormat="1" applyFont="1" applyBorder="1" applyAlignment="1" applyProtection="1">
      <alignment horizontal="center" vertical="center"/>
      <protection locked="0"/>
    </xf>
    <xf numFmtId="14" fontId="12" fillId="0" borderId="53" xfId="0" applyNumberFormat="1" applyFont="1" applyBorder="1" applyAlignment="1" applyProtection="1">
      <alignment horizontal="center" vertical="center"/>
      <protection locked="0"/>
    </xf>
    <xf numFmtId="0" fontId="27" fillId="0" borderId="44" xfId="0" applyFont="1" applyBorder="1" applyAlignment="1">
      <alignment horizontal="right" vertical="center"/>
    </xf>
    <xf numFmtId="9" fontId="10" fillId="0" borderId="0" xfId="0" applyNumberFormat="1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0" fontId="20" fillId="0" borderId="39" xfId="0" applyNumberFormat="1" applyFont="1" applyBorder="1" applyAlignment="1">
      <alignment horizontal="center" vertical="center"/>
    </xf>
    <xf numFmtId="0" fontId="3" fillId="4" borderId="41" xfId="0" applyFont="1" applyFill="1" applyBorder="1" applyAlignment="1">
      <alignment horizontal="left" vertical="center"/>
    </xf>
    <xf numFmtId="0" fontId="3" fillId="4" borderId="51" xfId="0" applyFont="1" applyFill="1" applyBorder="1" applyAlignment="1">
      <alignment horizontal="left" vertical="center"/>
    </xf>
    <xf numFmtId="0" fontId="3" fillId="4" borderId="52" xfId="0" applyFont="1" applyFill="1" applyBorder="1" applyAlignment="1">
      <alignment horizontal="left" vertical="center"/>
    </xf>
    <xf numFmtId="0" fontId="3" fillId="4" borderId="41" xfId="0" applyFont="1" applyFill="1" applyBorder="1" applyAlignment="1">
      <alignment horizontal="left" vertical="center" wrapText="1"/>
    </xf>
    <xf numFmtId="0" fontId="3" fillId="4" borderId="51" xfId="0" applyFont="1" applyFill="1" applyBorder="1" applyAlignment="1">
      <alignment horizontal="left" vertical="center" wrapText="1"/>
    </xf>
    <xf numFmtId="0" fontId="3" fillId="4" borderId="52" xfId="0" applyFont="1" applyFill="1" applyBorder="1" applyAlignment="1">
      <alignment horizontal="left" vertical="center" wrapText="1"/>
    </xf>
    <xf numFmtId="0" fontId="2" fillId="0" borderId="43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22" xfId="0" applyFont="1" applyBorder="1" applyAlignment="1">
      <alignment horizontal="left" vertical="center" wrapText="1"/>
    </xf>
    <xf numFmtId="0" fontId="2" fillId="0" borderId="43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3" fillId="0" borderId="45" xfId="0" applyFont="1" applyFill="1" applyBorder="1" applyAlignment="1">
      <alignment horizontal="center" vertical="center" wrapText="1"/>
    </xf>
    <xf numFmtId="0" fontId="3" fillId="0" borderId="46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164" fontId="3" fillId="0" borderId="36" xfId="0" applyNumberFormat="1" applyFont="1" applyBorder="1" applyAlignment="1" applyProtection="1">
      <alignment horizontal="center" vertical="center"/>
      <protection locked="0"/>
    </xf>
    <xf numFmtId="164" fontId="3" fillId="0" borderId="37" xfId="0" applyNumberFormat="1" applyFont="1" applyBorder="1" applyAlignment="1" applyProtection="1">
      <alignment horizontal="center" vertical="center"/>
      <protection locked="0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164" fontId="2" fillId="0" borderId="44" xfId="0" applyNumberFormat="1" applyFont="1" applyFill="1" applyBorder="1" applyAlignment="1">
      <alignment horizontal="center" vertical="center"/>
    </xf>
    <xf numFmtId="0" fontId="3" fillId="0" borderId="41" xfId="0" applyFont="1" applyBorder="1" applyAlignment="1">
      <alignment horizontal="center" vertical="center" wrapText="1"/>
    </xf>
    <xf numFmtId="0" fontId="0" fillId="0" borderId="42" xfId="0" applyBorder="1"/>
    <xf numFmtId="0" fontId="2" fillId="0" borderId="4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right" vertical="center"/>
    </xf>
    <xf numFmtId="164" fontId="8" fillId="3" borderId="36" xfId="0" applyNumberFormat="1" applyFont="1" applyFill="1" applyBorder="1" applyAlignment="1">
      <alignment horizontal="center" vertical="center"/>
    </xf>
    <xf numFmtId="164" fontId="8" fillId="3" borderId="37" xfId="0" applyNumberFormat="1" applyFont="1" applyFill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1" fillId="0" borderId="47" xfId="0" applyFont="1" applyBorder="1" applyAlignment="1" applyProtection="1">
      <alignment vertical="top" wrapText="1"/>
      <protection locked="0"/>
    </xf>
    <xf numFmtId="0" fontId="1" fillId="0" borderId="44" xfId="0" applyFont="1" applyBorder="1" applyAlignment="1" applyProtection="1">
      <alignment vertical="top" wrapText="1"/>
      <protection locked="0"/>
    </xf>
    <xf numFmtId="0" fontId="1" fillId="0" borderId="49" xfId="0" applyFont="1" applyBorder="1" applyAlignment="1" applyProtection="1">
      <alignment vertical="top" wrapText="1"/>
      <protection locked="0"/>
    </xf>
    <xf numFmtId="0" fontId="10" fillId="3" borderId="39" xfId="0" applyFont="1" applyFill="1" applyBorder="1" applyAlignment="1">
      <alignment horizontal="center" vertical="center"/>
    </xf>
    <xf numFmtId="0" fontId="10" fillId="3" borderId="40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center" wrapText="1"/>
      <protection locked="0"/>
    </xf>
    <xf numFmtId="0" fontId="0" fillId="0" borderId="34" xfId="0" applyBorder="1"/>
    <xf numFmtId="0" fontId="2" fillId="0" borderId="35" xfId="0" applyFont="1" applyBorder="1" applyAlignment="1" applyProtection="1">
      <alignment horizontal="center" vertical="center" wrapText="1"/>
      <protection locked="0"/>
    </xf>
    <xf numFmtId="0" fontId="0" fillId="0" borderId="16" xfId="0" applyBorder="1"/>
    <xf numFmtId="0" fontId="2" fillId="0" borderId="35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5.9602841741391195E-2"/>
          <c:y val="3.7313432835820892E-2"/>
          <c:w val="0.90728770206339915"/>
          <c:h val="0.80597014925373134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val>
            <c:numRef>
              <c:f>Notation!$O$5:$O$10</c:f>
              <c:numCache>
                <c:formatCode>0.00%</c:formatCode>
                <c:ptCount val="6"/>
                <c:pt idx="0">
                  <c:v>0.33333333333333331</c:v>
                </c:pt>
                <c:pt idx="1">
                  <c:v>0.66666666666666663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0.66666666666666663</c:v>
                </c:pt>
              </c:numCache>
            </c:numRef>
          </c:val>
          <c:extLst xmlns:c16r2="http://schemas.microsoft.com/office/drawing/2015/06/chart"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974-4D87-B947-86DF05B547B5}"/>
            </c:ext>
          </c:extLst>
        </c:ser>
        <c:dLbls/>
        <c:axId val="139362688"/>
        <c:axId val="139364224"/>
      </c:barChart>
      <c:catAx>
        <c:axId val="139362688"/>
        <c:scaling>
          <c:orientation val="maxMin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ckLblPos val="none"/>
        <c:crossAx val="139364224"/>
        <c:crosses val="autoZero"/>
        <c:auto val="1"/>
        <c:lblAlgn val="ctr"/>
        <c:lblOffset val="100"/>
      </c:catAx>
      <c:valAx>
        <c:axId val="139364224"/>
        <c:scaling>
          <c:orientation val="minMax"/>
          <c:max val="1"/>
          <c:min val="0"/>
        </c:scaling>
        <c:delete val="1"/>
        <c:axPos val="t"/>
        <c:numFmt formatCode="0.00%" sourceLinked="1"/>
        <c:tickLblPos val="none"/>
        <c:crossAx val="139362688"/>
        <c:crosses val="autoZero"/>
        <c:crossBetween val="between"/>
        <c:majorUnit val="0.3333000000000001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5.3691275167785227E-2"/>
          <c:y val="2.2831152036743893E-2"/>
          <c:w val="0.91946308724832204"/>
          <c:h val="0.9589083855432432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val>
            <c:numRef>
              <c:f>Notation!$O$12:$O$21</c:f>
              <c:numCache>
                <c:formatCode>0.00%</c:formatCode>
                <c:ptCount val="10"/>
                <c:pt idx="0">
                  <c:v>1</c:v>
                </c:pt>
                <c:pt idx="1">
                  <c:v>0.33333333333333331</c:v>
                </c:pt>
                <c:pt idx="2">
                  <c:v>0.66666666666666663</c:v>
                </c:pt>
                <c:pt idx="3">
                  <c:v>0.66666666666666652</c:v>
                </c:pt>
                <c:pt idx="4">
                  <c:v>0.66666666666666663</c:v>
                </c:pt>
                <c:pt idx="5">
                  <c:v>1</c:v>
                </c:pt>
                <c:pt idx="6">
                  <c:v>0.66666666666666652</c:v>
                </c:pt>
                <c:pt idx="7">
                  <c:v>1</c:v>
                </c:pt>
                <c:pt idx="8">
                  <c:v>1</c:v>
                </c:pt>
                <c:pt idx="9">
                  <c:v>0.33333333333333331</c:v>
                </c:pt>
              </c:numCache>
            </c:numRef>
          </c:val>
          <c:extLst xmlns:c16r2="http://schemas.microsoft.com/office/drawing/2015/06/chart"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DCA-42FA-BBDF-E58012FEB056}"/>
            </c:ext>
          </c:extLst>
        </c:ser>
        <c:dLbls/>
        <c:axId val="138884608"/>
        <c:axId val="138886144"/>
      </c:barChart>
      <c:catAx>
        <c:axId val="138884608"/>
        <c:scaling>
          <c:orientation val="maxMin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ckLblPos val="none"/>
        <c:crossAx val="138886144"/>
        <c:crosses val="autoZero"/>
        <c:auto val="1"/>
        <c:lblAlgn val="ctr"/>
        <c:lblOffset val="100"/>
      </c:catAx>
      <c:valAx>
        <c:axId val="138886144"/>
        <c:scaling>
          <c:orientation val="minMax"/>
          <c:max val="1"/>
          <c:min val="0"/>
        </c:scaling>
        <c:delete val="1"/>
        <c:axPos val="t"/>
        <c:numFmt formatCode="0.00%" sourceLinked="1"/>
        <c:tickLblPos val="none"/>
        <c:crossAx val="138884608"/>
        <c:crosses val="autoZero"/>
        <c:crossBetween val="between"/>
        <c:majorUnit val="0.3333000000000001"/>
      </c:valAx>
      <c:spPr>
        <a:solidFill>
          <a:srgbClr val="CC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6.7114093959731572E-2"/>
          <c:y val="3.4246575342465752E-2"/>
          <c:w val="0.90604026845637597"/>
          <c:h val="0.9383561643835615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val>
            <c:numRef>
              <c:f>Notation!$O$23:$O$28</c:f>
              <c:numCache>
                <c:formatCode>0.00%</c:formatCode>
                <c:ptCount val="6"/>
                <c:pt idx="0">
                  <c:v>0.66666666666666663</c:v>
                </c:pt>
                <c:pt idx="1">
                  <c:v>0.66666666666666663</c:v>
                </c:pt>
                <c:pt idx="2">
                  <c:v>0.33333333333333331</c:v>
                </c:pt>
                <c:pt idx="3">
                  <c:v>1</c:v>
                </c:pt>
                <c:pt idx="4">
                  <c:v>0.66666666666666663</c:v>
                </c:pt>
                <c:pt idx="5">
                  <c:v>0.33333333333333331</c:v>
                </c:pt>
              </c:numCache>
            </c:numRef>
          </c:val>
          <c:extLst xmlns:c16r2="http://schemas.microsoft.com/office/drawing/2015/06/chart"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846-4D5D-BA95-7E458380287D}"/>
            </c:ext>
          </c:extLst>
        </c:ser>
        <c:dLbls/>
        <c:axId val="138930816"/>
        <c:axId val="139788672"/>
      </c:barChart>
      <c:catAx>
        <c:axId val="138930816"/>
        <c:scaling>
          <c:orientation val="maxMin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ckLblPos val="none"/>
        <c:crossAx val="139788672"/>
        <c:crosses val="autoZero"/>
        <c:auto val="1"/>
        <c:lblAlgn val="ctr"/>
        <c:lblOffset val="100"/>
      </c:catAx>
      <c:valAx>
        <c:axId val="139788672"/>
        <c:scaling>
          <c:orientation val="minMax"/>
          <c:max val="1"/>
          <c:min val="0"/>
        </c:scaling>
        <c:delete val="1"/>
        <c:axPos val="t"/>
        <c:numFmt formatCode="0.00%" sourceLinked="1"/>
        <c:tickLblPos val="none"/>
        <c:crossAx val="138930816"/>
        <c:crosses val="autoZero"/>
        <c:crossBetween val="between"/>
        <c:majorUnit val="0.3333000000000001"/>
      </c:valAx>
      <c:spPr>
        <a:solidFill>
          <a:srgbClr val="FFCC99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barChart>
        <c:barDir val="bar"/>
        <c:grouping val="clustered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val>
            <c:numRef>
              <c:f>Notation!#REF!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5CD-4EB5-B1ED-56E93D9A1172}"/>
            </c:ext>
          </c:extLst>
        </c:ser>
        <c:dLbls/>
        <c:axId val="139821056"/>
        <c:axId val="139822592"/>
      </c:barChart>
      <c:catAx>
        <c:axId val="139821056"/>
        <c:scaling>
          <c:orientation val="maxMin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ckLblPos val="none"/>
        <c:crossAx val="139822592"/>
        <c:crosses val="autoZero"/>
        <c:auto val="1"/>
        <c:lblAlgn val="ctr"/>
        <c:lblOffset val="100"/>
      </c:catAx>
      <c:valAx>
        <c:axId val="139822592"/>
        <c:scaling>
          <c:orientation val="minMax"/>
          <c:max val="1"/>
          <c:min val="0"/>
        </c:scaling>
        <c:delete val="1"/>
        <c:axPos val="t"/>
        <c:numFmt formatCode="General" sourceLinked="1"/>
        <c:tickLblPos val="none"/>
        <c:crossAx val="139821056"/>
        <c:crosses val="autoZero"/>
        <c:crossBetween val="between"/>
        <c:majorUnit val="0.3333000000000001"/>
      </c:valAx>
      <c:spPr>
        <a:solidFill>
          <a:srgbClr val="CC99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bar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Lit>
              <c:ptCount val="17"/>
              <c:pt idx="0">
                <c:v>Exactitude et précision des descriptions techniques</c:v>
              </c:pt>
              <c:pt idx="1">
                <c:v>Concision et lisibilité des informations.</c:v>
              </c:pt>
              <c:pt idx="2">
                <c:v>Pertinence de la définition du rôle tenu au sein du groupe.</c:v>
              </c:pt>
              <c:pt idx="3">
                <c:v>Pertinence des interventions.</c:v>
              </c:pt>
              <c:pt idx="4">
                <c:v>Pertinence et maîtrise des moyens de communication retenus.</c:v>
              </c:pt>
              <c:pt idx="5">
                <c:v>Pertinence du choix des essais à mettre en place.</c:v>
              </c:pt>
              <c:pt idx="6">
                <c:v>Pertinence des indicateurs en vue de qualification.</c:v>
              </c:pt>
              <c:pt idx="7">
                <c:v>Pertinence du protocole d'essai proposé.</c:v>
              </c:pt>
              <c:pt idx="8">
                <c:v>Les essais sont mis en œuvre de façon à garantir la validité et l'exploitabilité des résultats.</c:v>
              </c:pt>
              <c:pt idx="9">
                <c:v>Pertinence des conclusions relatives à la qualification(point de vue technique et économique).</c:v>
              </c:pt>
              <c:pt idx="10">
                <c:v>Cohérence du mode de surveillance choisi au regard des conclusions relatives à la qualification.</c:v>
              </c:pt>
              <c:pt idx="11">
                <c:v>Le moyen est mis en œuvre dans le respect des données de production.</c:v>
              </c:pt>
              <c:pt idx="12">
                <c:v>Exactitude du protocole de contrôle des caractéristiques et/ou performances du moyen.</c:v>
              </c:pt>
              <c:pt idx="13">
                <c:v>Pertinence de l'identification des critères d'amélioration technico-économiques.</c:v>
              </c:pt>
              <c:pt idx="14">
                <c:v>Exactitude de la mise en oeuvre de la méthode ou de l’outil d’amélioration de la qualité.</c:v>
              </c:pt>
              <c:pt idx="15">
                <c:v>Pertinence des améliorations proposées.</c:v>
              </c:pt>
              <c:pt idx="16">
                <c:v>Les modifications sont correctement intégrées au processus.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</c:v>
              </c:pt>
              <c:pt idx="6">
                <c:v>0.66666666666666663</c:v>
              </c:pt>
              <c:pt idx="7">
                <c:v>0.77777777777777779</c:v>
              </c:pt>
              <c:pt idx="8">
                <c:v>0.49999999999999994</c:v>
              </c:pt>
              <c:pt idx="9">
                <c:v>0.33333333333333331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1-417F-8C72-023355C21F2C}"/>
            </c:ext>
          </c:extLst>
        </c:ser>
        <c:dLbls/>
        <c:axId val="139920512"/>
        <c:axId val="139922048"/>
      </c:barChart>
      <c:catAx>
        <c:axId val="13992051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9922048"/>
        <c:crosses val="autoZero"/>
        <c:auto val="1"/>
        <c:lblAlgn val="ctr"/>
        <c:lblOffset val="100"/>
        <c:tickLblSkip val="1"/>
        <c:tickMarkSkip val="1"/>
      </c:catAx>
      <c:valAx>
        <c:axId val="139922048"/>
        <c:scaling>
          <c:orientation val="minMax"/>
          <c:max val="1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99205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78" l="0.78740157499999996" r="0.78740157499999996" t="0.98425196899999978" header="0.49212598450000011" footer="0.49212598450000011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3</xdr:row>
      <xdr:rowOff>152400</xdr:rowOff>
    </xdr:from>
    <xdr:to>
      <xdr:col>9</xdr:col>
      <xdr:colOff>723900</xdr:colOff>
      <xdr:row>28</xdr:row>
      <xdr:rowOff>0</xdr:rowOff>
    </xdr:to>
    <xdr:sp macro="" textlink="">
      <xdr:nvSpPr>
        <xdr:cNvPr id="1080" name="Rectangle 34">
          <a:extLst>
            <a:ext uri="{FF2B5EF4-FFF2-40B4-BE49-F238E27FC236}">
              <a16:creationId xmlns:a16="http://schemas.microsoft.com/office/drawing/2014/main" xmlns="" id="{02B7AB69-00A0-42A5-B693-548B52F1A024}"/>
            </a:ext>
          </a:extLst>
        </xdr:cNvPr>
        <xdr:cNvSpPr>
          <a:spLocks noChangeArrowheads="1"/>
        </xdr:cNvSpPr>
      </xdr:nvSpPr>
      <xdr:spPr bwMode="auto">
        <a:xfrm>
          <a:off x="12763500" y="647700"/>
          <a:ext cx="628650" cy="4657725"/>
        </a:xfrm>
        <a:prstGeom prst="rect">
          <a:avLst/>
        </a:prstGeom>
        <a:solidFill>
          <a:srgbClr val="FF99CC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714375</xdr:colOff>
      <xdr:row>3</xdr:row>
      <xdr:rowOff>152400</xdr:rowOff>
    </xdr:from>
    <xdr:to>
      <xdr:col>9</xdr:col>
      <xdr:colOff>1400175</xdr:colOff>
      <xdr:row>28</xdr:row>
      <xdr:rowOff>0</xdr:rowOff>
    </xdr:to>
    <xdr:sp macro="" textlink="">
      <xdr:nvSpPr>
        <xdr:cNvPr id="1081" name="Rectangle 35">
          <a:extLst>
            <a:ext uri="{FF2B5EF4-FFF2-40B4-BE49-F238E27FC236}">
              <a16:creationId xmlns:a16="http://schemas.microsoft.com/office/drawing/2014/main" xmlns="" id="{E08AA57A-3BA0-4A19-8984-9BA7DD7A2D7F}"/>
            </a:ext>
          </a:extLst>
        </xdr:cNvPr>
        <xdr:cNvSpPr>
          <a:spLocks noChangeArrowheads="1"/>
        </xdr:cNvSpPr>
      </xdr:nvSpPr>
      <xdr:spPr bwMode="auto">
        <a:xfrm>
          <a:off x="13382625" y="647700"/>
          <a:ext cx="685800" cy="4676775"/>
        </a:xfrm>
        <a:prstGeom prst="rect">
          <a:avLst/>
        </a:prstGeom>
        <a:solidFill>
          <a:srgbClr val="00FF00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3</xdr:row>
      <xdr:rowOff>104775</xdr:rowOff>
    </xdr:from>
    <xdr:to>
      <xdr:col>10</xdr:col>
      <xdr:colOff>28575</xdr:colOff>
      <xdr:row>11</xdr:row>
      <xdr:rowOff>57150</xdr:rowOff>
    </xdr:to>
    <xdr:graphicFrame macro="">
      <xdr:nvGraphicFramePr>
        <xdr:cNvPr id="1082" name="Chart 16">
          <a:extLst>
            <a:ext uri="{FF2B5EF4-FFF2-40B4-BE49-F238E27FC236}">
              <a16:creationId xmlns:a16="http://schemas.microsoft.com/office/drawing/2014/main" xmlns="" id="{6252E80F-2557-4111-8937-645EA7217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10</xdr:row>
      <xdr:rowOff>114300</xdr:rowOff>
    </xdr:from>
    <xdr:to>
      <xdr:col>10</xdr:col>
      <xdr:colOff>9525</xdr:colOff>
      <xdr:row>21</xdr:row>
      <xdr:rowOff>0</xdr:rowOff>
    </xdr:to>
    <xdr:graphicFrame macro="">
      <xdr:nvGraphicFramePr>
        <xdr:cNvPr id="1083" name="Chart 21">
          <a:extLst>
            <a:ext uri="{FF2B5EF4-FFF2-40B4-BE49-F238E27FC236}">
              <a16:creationId xmlns:a16="http://schemas.microsoft.com/office/drawing/2014/main" xmlns="" id="{2A5CC8CC-23E4-4630-BCF1-B9B1124AC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21</xdr:row>
      <xdr:rowOff>123825</xdr:rowOff>
    </xdr:from>
    <xdr:to>
      <xdr:col>10</xdr:col>
      <xdr:colOff>9525</xdr:colOff>
      <xdr:row>28</xdr:row>
      <xdr:rowOff>38100</xdr:rowOff>
    </xdr:to>
    <xdr:graphicFrame macro="">
      <xdr:nvGraphicFramePr>
        <xdr:cNvPr id="1084" name="Chart 29">
          <a:extLst>
            <a:ext uri="{FF2B5EF4-FFF2-40B4-BE49-F238E27FC236}">
              <a16:creationId xmlns:a16="http://schemas.microsoft.com/office/drawing/2014/main" xmlns="" id="{40C1AC99-06C3-4AD1-8563-0516CB113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38100</xdr:rowOff>
    </xdr:to>
    <xdr:graphicFrame macro="">
      <xdr:nvGraphicFramePr>
        <xdr:cNvPr id="1085" name="Chart 37">
          <a:extLst>
            <a:ext uri="{FF2B5EF4-FFF2-40B4-BE49-F238E27FC236}">
              <a16:creationId xmlns:a16="http://schemas.microsoft.com/office/drawing/2014/main" xmlns="" id="{CCE0317F-EBF2-4D7E-AF71-E8F333189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4048125</xdr:colOff>
      <xdr:row>0</xdr:row>
      <xdr:rowOff>0</xdr:rowOff>
    </xdr:from>
    <xdr:to>
      <xdr:col>20</xdr:col>
      <xdr:colOff>266700</xdr:colOff>
      <xdr:row>0</xdr:row>
      <xdr:rowOff>0</xdr:rowOff>
    </xdr:to>
    <xdr:graphicFrame macro="">
      <xdr:nvGraphicFramePr>
        <xdr:cNvPr id="1086" name="Chart 3">
          <a:extLst>
            <a:ext uri="{FF2B5EF4-FFF2-40B4-BE49-F238E27FC236}">
              <a16:creationId xmlns:a16="http://schemas.microsoft.com/office/drawing/2014/main" xmlns="" id="{B4F36555-8C60-4D13-B273-24BCE37DB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793595</xdr:colOff>
      <xdr:row>4</xdr:row>
      <xdr:rowOff>0</xdr:rowOff>
    </xdr:from>
    <xdr:to>
      <xdr:col>9</xdr:col>
      <xdr:colOff>793595</xdr:colOff>
      <xdr:row>28</xdr:row>
      <xdr:rowOff>19050</xdr:rowOff>
    </xdr:to>
    <xdr:sp macro="" textlink="">
      <xdr:nvSpPr>
        <xdr:cNvPr id="1087" name="Line 33">
          <a:extLst>
            <a:ext uri="{FF2B5EF4-FFF2-40B4-BE49-F238E27FC236}">
              <a16:creationId xmlns:a16="http://schemas.microsoft.com/office/drawing/2014/main" xmlns="" id="{0A73E9FD-2BE4-4FA9-90D6-46EBC9FFDF61}"/>
            </a:ext>
          </a:extLst>
        </xdr:cNvPr>
        <xdr:cNvSpPr>
          <a:spLocks noChangeShapeType="1"/>
        </xdr:cNvSpPr>
      </xdr:nvSpPr>
      <xdr:spPr bwMode="auto">
        <a:xfrm flipV="1">
          <a:off x="13454875" y="662104"/>
          <a:ext cx="0" cy="4560848"/>
        </a:xfrm>
        <a:prstGeom prst="line">
          <a:avLst/>
        </a:prstGeom>
        <a:noFill/>
        <a:ln w="19050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</a:extLst>
      </xdr:spPr>
      <xdr:txBody>
        <a:bodyPr/>
        <a:lstStyle/>
        <a:p>
          <a:endParaRPr lang="fr-FR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1:I32"/>
  <sheetViews>
    <sheetView workbookViewId="0">
      <selection activeCell="D11" sqref="D11"/>
    </sheetView>
  </sheetViews>
  <sheetFormatPr baseColWidth="10" defaultRowHeight="12.75"/>
  <cols>
    <col min="1" max="1" width="18.85546875" style="29" bestFit="1" customWidth="1"/>
    <col min="2" max="2" width="110.28515625" style="29" customWidth="1"/>
    <col min="3" max="3" width="4.42578125" style="29" customWidth="1"/>
    <col min="4" max="16384" width="11.42578125" style="29"/>
  </cols>
  <sheetData>
    <row r="1" spans="1:3" ht="13.5" thickTop="1">
      <c r="A1" s="103" t="s">
        <v>5</v>
      </c>
      <c r="B1" s="104"/>
    </row>
    <row r="2" spans="1:3" ht="12.75" customHeight="1">
      <c r="A2" s="32" t="s">
        <v>1</v>
      </c>
      <c r="B2" s="33" t="s">
        <v>34</v>
      </c>
    </row>
    <row r="3" spans="1:3">
      <c r="A3" s="35" t="s">
        <v>0</v>
      </c>
      <c r="B3" s="96" t="s">
        <v>35</v>
      </c>
    </row>
    <row r="4" spans="1:3">
      <c r="A4" s="35" t="s">
        <v>22</v>
      </c>
      <c r="B4" s="41">
        <v>2</v>
      </c>
    </row>
    <row r="5" spans="1:3">
      <c r="A5" s="35" t="s">
        <v>36</v>
      </c>
      <c r="B5" s="36" t="s">
        <v>75</v>
      </c>
    </row>
    <row r="6" spans="1:3">
      <c r="A6" s="35" t="s">
        <v>37</v>
      </c>
      <c r="B6" s="36" t="s">
        <v>76</v>
      </c>
    </row>
    <row r="7" spans="1:3">
      <c r="A7" s="35" t="s">
        <v>2</v>
      </c>
      <c r="B7" s="37" t="s">
        <v>77</v>
      </c>
    </row>
    <row r="8" spans="1:3">
      <c r="A8" s="35" t="s">
        <v>3</v>
      </c>
      <c r="B8" s="37" t="s">
        <v>78</v>
      </c>
    </row>
    <row r="9" spans="1:3">
      <c r="A9" s="35" t="s">
        <v>38</v>
      </c>
      <c r="B9" s="37" t="s">
        <v>79</v>
      </c>
    </row>
    <row r="10" spans="1:3">
      <c r="A10" s="35" t="s">
        <v>4</v>
      </c>
      <c r="B10" s="38">
        <v>43471</v>
      </c>
    </row>
    <row r="11" spans="1:3" ht="13.5" thickBot="1">
      <c r="A11" s="39" t="s">
        <v>19</v>
      </c>
      <c r="B11" s="40" t="s">
        <v>80</v>
      </c>
    </row>
    <row r="12" spans="1:3" ht="12.75" customHeight="1">
      <c r="A12" s="101" t="s">
        <v>39</v>
      </c>
      <c r="B12" s="102"/>
    </row>
    <row r="13" spans="1:3" ht="87.75" customHeight="1" thickBot="1">
      <c r="A13" s="105"/>
      <c r="B13" s="106"/>
    </row>
    <row r="14" spans="1:3" ht="12.75" customHeight="1">
      <c r="A14" s="101" t="s">
        <v>24</v>
      </c>
      <c r="B14" s="102"/>
      <c r="C14" s="30"/>
    </row>
    <row r="15" spans="1:3">
      <c r="A15" s="107"/>
      <c r="B15" s="108"/>
      <c r="C15" s="30"/>
    </row>
    <row r="16" spans="1:3">
      <c r="A16" s="107"/>
      <c r="B16" s="108"/>
      <c r="C16" s="30"/>
    </row>
    <row r="17" spans="1:9">
      <c r="A17" s="107"/>
      <c r="B17" s="108"/>
      <c r="C17" s="30"/>
    </row>
    <row r="18" spans="1:9">
      <c r="A18" s="107"/>
      <c r="B18" s="108"/>
      <c r="C18" s="30"/>
    </row>
    <row r="19" spans="1:9">
      <c r="A19" s="107"/>
      <c r="B19" s="108"/>
      <c r="C19" s="30"/>
    </row>
    <row r="20" spans="1:9">
      <c r="A20" s="107"/>
      <c r="B20" s="108"/>
      <c r="C20" s="30"/>
    </row>
    <row r="21" spans="1:9">
      <c r="A21" s="107"/>
      <c r="B21" s="108"/>
      <c r="C21" s="30"/>
    </row>
    <row r="22" spans="1:9" ht="13.5" thickBot="1">
      <c r="A22" s="109"/>
      <c r="B22" s="110"/>
      <c r="C22" s="30"/>
    </row>
    <row r="23" spans="1:9" s="31" customFormat="1">
      <c r="A23" s="101" t="s">
        <v>20</v>
      </c>
      <c r="B23" s="102"/>
      <c r="D23" s="30"/>
      <c r="E23" s="30"/>
      <c r="F23" s="30"/>
      <c r="G23" s="30"/>
      <c r="H23" s="30"/>
      <c r="I23" s="30"/>
    </row>
    <row r="24" spans="1:9" s="31" customFormat="1">
      <c r="A24" s="97"/>
      <c r="B24" s="98"/>
      <c r="D24" s="30"/>
      <c r="E24" s="30"/>
      <c r="F24" s="30"/>
      <c r="G24" s="30"/>
      <c r="H24" s="30"/>
      <c r="I24" s="30"/>
    </row>
    <row r="25" spans="1:9" s="31" customFormat="1">
      <c r="A25" s="97"/>
      <c r="B25" s="98"/>
      <c r="D25" s="30"/>
      <c r="E25" s="30"/>
      <c r="F25" s="30"/>
      <c r="G25" s="30"/>
      <c r="H25" s="30"/>
      <c r="I25" s="30"/>
    </row>
    <row r="26" spans="1:9" s="31" customFormat="1">
      <c r="A26" s="97"/>
      <c r="B26" s="98"/>
      <c r="D26" s="30"/>
      <c r="E26" s="30"/>
      <c r="F26" s="30"/>
      <c r="G26" s="30"/>
      <c r="H26" s="30"/>
      <c r="I26" s="30"/>
    </row>
    <row r="27" spans="1:9" s="31" customFormat="1">
      <c r="A27" s="97"/>
      <c r="B27" s="98"/>
      <c r="D27" s="30"/>
      <c r="E27" s="30"/>
      <c r="F27" s="30"/>
      <c r="G27" s="30"/>
      <c r="H27" s="30"/>
      <c r="I27" s="30"/>
    </row>
    <row r="28" spans="1:9" s="31" customFormat="1">
      <c r="A28" s="97"/>
      <c r="B28" s="98"/>
      <c r="D28" s="30"/>
      <c r="E28" s="30"/>
      <c r="F28" s="30"/>
      <c r="G28" s="30"/>
      <c r="H28" s="30"/>
      <c r="I28" s="30"/>
    </row>
    <row r="29" spans="1:9" s="31" customFormat="1">
      <c r="A29" s="97"/>
      <c r="B29" s="98"/>
      <c r="D29" s="30"/>
      <c r="E29" s="30"/>
      <c r="F29" s="30"/>
      <c r="G29" s="30"/>
      <c r="H29" s="30"/>
      <c r="I29" s="30"/>
    </row>
    <row r="30" spans="1:9" s="31" customFormat="1">
      <c r="A30" s="97"/>
      <c r="B30" s="98"/>
      <c r="D30" s="30"/>
      <c r="E30" s="30"/>
      <c r="F30" s="30"/>
      <c r="G30" s="30"/>
      <c r="H30" s="30"/>
      <c r="I30" s="30"/>
    </row>
    <row r="31" spans="1:9" s="31" customFormat="1" ht="13.5" thickBot="1">
      <c r="A31" s="99"/>
      <c r="B31" s="100"/>
      <c r="D31" s="30"/>
      <c r="E31" s="30"/>
      <c r="F31" s="30"/>
      <c r="G31" s="30"/>
      <c r="H31" s="30"/>
      <c r="I31" s="30"/>
    </row>
    <row r="32" spans="1:9" ht="13.5" thickTop="1"/>
  </sheetData>
  <mergeCells count="7">
    <mergeCell ref="A24:B31"/>
    <mergeCell ref="A23:B23"/>
    <mergeCell ref="A14:B14"/>
    <mergeCell ref="A1:B1"/>
    <mergeCell ref="A12:B12"/>
    <mergeCell ref="A13:B13"/>
    <mergeCell ref="A15:B22"/>
  </mergeCells>
  <phoneticPr fontId="6" type="noConversion"/>
  <printOptions horizontalCentered="1" verticalCentered="1"/>
  <pageMargins left="0.74" right="0.54" top="0.71" bottom="0.68" header="0.51181102362204722" footer="0.51181102362204722"/>
  <pageSetup paperSize="9" scale="85" orientation="landscape" horizontalDpi="4294967293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AC45"/>
  <sheetViews>
    <sheetView tabSelected="1" zoomScale="78" zoomScaleNormal="78" workbookViewId="0">
      <selection activeCell="E6" sqref="E6"/>
    </sheetView>
  </sheetViews>
  <sheetFormatPr baseColWidth="10" defaultRowHeight="12.75"/>
  <cols>
    <col min="1" max="1" width="19.140625" style="17" customWidth="1"/>
    <col min="2" max="2" width="56.7109375" style="2" customWidth="1"/>
    <col min="3" max="3" width="91.7109375" style="1" customWidth="1"/>
    <col min="4" max="4" width="5" style="19" customWidth="1"/>
    <col min="5" max="8" width="3.7109375" style="6" customWidth="1"/>
    <col min="9" max="9" width="2.5703125" style="77" customWidth="1"/>
    <col min="10" max="10" width="21.140625" style="9" customWidth="1"/>
    <col min="11" max="11" width="4.85546875" style="55" customWidth="1"/>
    <col min="12" max="12" width="5.5703125" style="60" bestFit="1" customWidth="1"/>
    <col min="13" max="13" width="10.7109375" style="61" bestFit="1" customWidth="1"/>
    <col min="14" max="14" width="2.140625" style="62" bestFit="1" customWidth="1"/>
    <col min="15" max="15" width="9" style="63" bestFit="1" customWidth="1"/>
    <col min="16" max="16" width="8.5703125" style="63" bestFit="1" customWidth="1"/>
    <col min="17" max="17" width="2.28515625" style="85" bestFit="1" customWidth="1"/>
    <col min="18" max="18" width="6" style="85" bestFit="1" customWidth="1"/>
    <col min="19" max="19" width="2.28515625" style="62" bestFit="1" customWidth="1"/>
    <col min="20" max="29" width="11.42578125" style="62"/>
    <col min="30" max="16384" width="11.42578125" style="1"/>
  </cols>
  <sheetData>
    <row r="1" spans="1:20">
      <c r="A1" s="17" t="str">
        <f>Identification!B2</f>
        <v>Ingénieur d'état en informatique</v>
      </c>
      <c r="C1" s="74" t="str">
        <f>Identification!B3</f>
        <v xml:space="preserve">Soutenance Projet de fin d'étude </v>
      </c>
      <c r="D1" s="3"/>
      <c r="E1" s="57"/>
      <c r="F1" s="59"/>
      <c r="I1" s="76"/>
    </row>
    <row r="2" spans="1:20">
      <c r="A2" s="1"/>
      <c r="B2" s="1"/>
      <c r="C2" s="42" t="str">
        <f>Identification!B7</f>
        <v xml:space="preserve">HAMANI </v>
      </c>
      <c r="D2" s="117" t="str">
        <f>Identification!B8</f>
        <v>Sid Ahmed</v>
      </c>
      <c r="E2" s="117"/>
      <c r="F2" s="117"/>
      <c r="G2" s="117"/>
      <c r="H2" s="117"/>
      <c r="K2" s="42" t="s">
        <v>11</v>
      </c>
    </row>
    <row r="3" spans="1:20" ht="13.5" thickBot="1">
      <c r="A3" s="118" t="s">
        <v>7</v>
      </c>
      <c r="B3" s="118"/>
      <c r="C3" s="24" t="s">
        <v>25</v>
      </c>
      <c r="D3" s="73" t="s">
        <v>15</v>
      </c>
      <c r="E3" s="58">
        <v>0</v>
      </c>
      <c r="F3" s="58">
        <v>1</v>
      </c>
      <c r="G3" s="58">
        <v>2</v>
      </c>
      <c r="H3" s="58">
        <v>3</v>
      </c>
      <c r="K3" s="69" t="s">
        <v>10</v>
      </c>
      <c r="M3" s="61" t="s">
        <v>12</v>
      </c>
    </row>
    <row r="4" spans="1:20">
      <c r="A4" s="120" t="s">
        <v>41</v>
      </c>
      <c r="B4" s="121"/>
      <c r="C4" s="121"/>
      <c r="D4" s="121"/>
      <c r="E4" s="121"/>
      <c r="F4" s="121"/>
      <c r="G4" s="121"/>
      <c r="H4" s="122"/>
      <c r="K4" s="56">
        <v>0.4</v>
      </c>
      <c r="M4" s="64">
        <f>IF(N4=1,SUMPRODUCT(M5:M10,N5:N10)/SUMPRODUCT(K5:K10,N5:N10),0)</f>
        <v>11</v>
      </c>
      <c r="N4" s="62">
        <f>IF(SUM(N5:N10)=0,0,1)</f>
        <v>1</v>
      </c>
      <c r="P4" s="63">
        <f>SUM(P5:P10)</f>
        <v>1</v>
      </c>
    </row>
    <row r="5" spans="1:20">
      <c r="A5" s="131" t="s">
        <v>42</v>
      </c>
      <c r="B5" s="126" t="s">
        <v>50</v>
      </c>
      <c r="C5" s="88" t="s">
        <v>53</v>
      </c>
      <c r="D5" s="70"/>
      <c r="E5" s="71"/>
      <c r="F5" s="71" t="s">
        <v>40</v>
      </c>
      <c r="G5" s="71"/>
      <c r="H5" s="72"/>
      <c r="I5" s="77" t="str">
        <f t="shared" ref="I5:I28" si="0">IF(N5&gt;1,"◄",(IF(S5&gt;0,"◄","")))</f>
        <v/>
      </c>
      <c r="J5" s="10"/>
      <c r="K5" s="55">
        <v>0.2</v>
      </c>
      <c r="M5" s="61">
        <f t="shared" ref="M5:M10" si="1">IF(H5&lt;&gt;"",1,IF(G5&lt;&gt;"",2/3,IF(F5&lt;&gt;"",1/3,0)))*K5*20</f>
        <v>1.3333333333333333</v>
      </c>
      <c r="N5" s="62">
        <f t="shared" ref="N5" si="2">IF(D5="",IF(E5&lt;&gt;"",1,0)+IF(F5&lt;&gt;"",1,0)+IF(G5&lt;&gt;"",1,0)+IF(H5&lt;&gt;"",1,0),0)</f>
        <v>1</v>
      </c>
      <c r="O5" s="63">
        <f t="shared" ref="O5" si="3">IF(D5&lt;&gt;"",0,IF(E5="",(M5/(K5*20)),0.02+(M5/(K5*20))))</f>
        <v>0.33333333333333331</v>
      </c>
      <c r="P5" s="63">
        <f t="shared" ref="P5:P10" si="4">IF(D5&lt;&gt;"",0,K5)</f>
        <v>0.2</v>
      </c>
      <c r="Q5" s="85">
        <f>IF(I5&lt;&gt;"",1,0)</f>
        <v>0</v>
      </c>
      <c r="R5" s="85" t="b">
        <f t="shared" ref="R5:R10" si="5">IF(D5="",OR(E5&lt;&gt;"",F5&lt;&gt;"",G5&lt;&gt;"",H5&lt;&gt;""),0)</f>
        <v>1</v>
      </c>
      <c r="S5" s="62">
        <f t="shared" ref="S5:S28" si="6">IF(D5&lt;&gt;"",IF(E5&lt;&gt;"",1,0)+IF(F5&lt;&gt;"",1,0)+IF(G5&lt;&gt;"",1,0)+IF(H5&lt;&gt;"",1,0),0)</f>
        <v>0</v>
      </c>
    </row>
    <row r="6" spans="1:20">
      <c r="A6" s="132"/>
      <c r="B6" s="127"/>
      <c r="C6" s="88" t="s">
        <v>56</v>
      </c>
      <c r="D6" s="70"/>
      <c r="E6" s="71"/>
      <c r="F6" s="71"/>
      <c r="G6" s="71" t="s">
        <v>40</v>
      </c>
      <c r="H6" s="72"/>
      <c r="J6" s="10"/>
      <c r="K6" s="55">
        <v>0.15</v>
      </c>
      <c r="M6" s="61">
        <f>IF(H6&lt;&gt;"",1,IF(G6&lt;&gt;"",2/3,IF(F6&lt;&gt;"",1/3,0)))*K6*20</f>
        <v>1.9999999999999998</v>
      </c>
      <c r="N6" s="62">
        <f>IF(D6="",IF(E6&lt;&gt;"",1,0)+IF(F6&lt;&gt;"",1,0)+IF(G6&lt;&gt;"",1,0)+IF(H6&lt;&gt;"",1,0),0)</f>
        <v>1</v>
      </c>
      <c r="O6" s="63">
        <f>IF(D6&lt;&gt;"",0,IF(E6="",(M6/(K6*20)),0.02+(M6/(K6*20))))</f>
        <v>0.66666666666666663</v>
      </c>
      <c r="P6" s="63">
        <f>IF(D6&lt;&gt;"",0,K6)</f>
        <v>0.15</v>
      </c>
      <c r="Q6" s="85">
        <f>IF(I6&lt;&gt;"",1,0)</f>
        <v>0</v>
      </c>
      <c r="R6" s="85" t="b">
        <f t="shared" si="5"/>
        <v>1</v>
      </c>
      <c r="S6" s="62">
        <f t="shared" si="6"/>
        <v>0</v>
      </c>
    </row>
    <row r="7" spans="1:20">
      <c r="A7" s="133"/>
      <c r="B7" s="128"/>
      <c r="C7" s="89" t="s">
        <v>55</v>
      </c>
      <c r="D7" s="34"/>
      <c r="E7" s="13"/>
      <c r="F7" s="13"/>
      <c r="G7" s="13" t="s">
        <v>40</v>
      </c>
      <c r="H7" s="14"/>
      <c r="I7" s="77" t="str">
        <f t="shared" si="0"/>
        <v/>
      </c>
      <c r="J7" s="10"/>
      <c r="K7" s="55">
        <v>0.25</v>
      </c>
      <c r="M7" s="61">
        <f t="shared" si="1"/>
        <v>3.333333333333333</v>
      </c>
      <c r="N7" s="62">
        <f>IF(D7="",IF(E7&lt;&gt;"",1,0)+IF(F7&lt;&gt;"",1,0)+IF(G7&lt;&gt;"",1,0)+IF(H7&lt;&gt;"",1,0),0)</f>
        <v>1</v>
      </c>
      <c r="O7" s="63">
        <f>IF(D7&lt;&gt;"",0,IF(E7="",(M7/(K7*20)),0.02+(M7/(K7*20))))</f>
        <v>0.66666666666666663</v>
      </c>
      <c r="P7" s="63">
        <f t="shared" si="4"/>
        <v>0.25</v>
      </c>
      <c r="Q7" s="85">
        <f t="shared" ref="Q7:Q28" si="7">IF(I7&lt;&gt;"",1,0)</f>
        <v>0</v>
      </c>
      <c r="R7" s="85" t="b">
        <f t="shared" si="5"/>
        <v>1</v>
      </c>
      <c r="S7" s="62">
        <f t="shared" si="6"/>
        <v>0</v>
      </c>
    </row>
    <row r="8" spans="1:20">
      <c r="A8" s="132" t="s">
        <v>43</v>
      </c>
      <c r="B8" s="127" t="s">
        <v>57</v>
      </c>
      <c r="C8" s="91" t="s">
        <v>51</v>
      </c>
      <c r="D8" s="67"/>
      <c r="E8" s="45"/>
      <c r="F8" s="45" t="s">
        <v>40</v>
      </c>
      <c r="G8" s="45"/>
      <c r="H8" s="46"/>
      <c r="I8" s="77" t="str">
        <f t="shared" si="0"/>
        <v/>
      </c>
      <c r="J8" s="10"/>
      <c r="K8" s="55">
        <v>0.15</v>
      </c>
      <c r="M8" s="61">
        <f t="shared" si="1"/>
        <v>0.99999999999999989</v>
      </c>
      <c r="N8" s="62">
        <f>IF(D8="",IF(E8&lt;&gt;"",1,0)+IF(F8&lt;&gt;"",1,0)+IF(G8&lt;&gt;"",1,0)+IF(H8&lt;&gt;"",1,0),0)</f>
        <v>1</v>
      </c>
      <c r="O8" s="63">
        <f>IF(D8&lt;&gt;"",0,IF(E8="",(M8/(K8*20)),0.02+(M8/(K8*20))))</f>
        <v>0.33333333333333331</v>
      </c>
      <c r="P8" s="63">
        <f t="shared" si="4"/>
        <v>0.15</v>
      </c>
      <c r="Q8" s="85">
        <f t="shared" si="7"/>
        <v>0</v>
      </c>
      <c r="R8" s="85" t="b">
        <f t="shared" si="5"/>
        <v>1</v>
      </c>
      <c r="S8" s="62">
        <f t="shared" si="6"/>
        <v>0</v>
      </c>
    </row>
    <row r="9" spans="1:20">
      <c r="A9" s="132"/>
      <c r="B9" s="127"/>
      <c r="C9" s="92" t="s">
        <v>54</v>
      </c>
      <c r="D9" s="68"/>
      <c r="E9" s="13"/>
      <c r="F9" s="13"/>
      <c r="G9" s="13" t="s">
        <v>40</v>
      </c>
      <c r="H9" s="14"/>
      <c r="I9" s="77" t="str">
        <f t="shared" si="0"/>
        <v/>
      </c>
      <c r="J9" s="10"/>
      <c r="K9" s="55">
        <v>0.1</v>
      </c>
      <c r="M9" s="61">
        <f t="shared" si="1"/>
        <v>1.3333333333333333</v>
      </c>
      <c r="N9" s="62">
        <f>IF(D9="",IF(E9&lt;&gt;"",1,0)+IF(F9&lt;&gt;"",1,0)+IF(G9&lt;&gt;"",1,0)+IF(H9&lt;&gt;"",1,0),0)</f>
        <v>1</v>
      </c>
      <c r="O9" s="63">
        <f>IF(D9&lt;&gt;"",0,IF(E9="",(M9/(K9*20)),0.02+(M9/(K9*20))))</f>
        <v>0.66666666666666663</v>
      </c>
      <c r="P9" s="63">
        <f t="shared" si="4"/>
        <v>0.1</v>
      </c>
      <c r="Q9" s="85">
        <f t="shared" si="7"/>
        <v>0</v>
      </c>
      <c r="R9" s="85" t="b">
        <f t="shared" si="5"/>
        <v>1</v>
      </c>
      <c r="S9" s="62">
        <f t="shared" si="6"/>
        <v>0</v>
      </c>
    </row>
    <row r="10" spans="1:20" ht="13.5" thickBot="1">
      <c r="A10" s="132"/>
      <c r="B10" s="127"/>
      <c r="C10" s="89" t="s">
        <v>52</v>
      </c>
      <c r="D10" s="68"/>
      <c r="E10" s="13"/>
      <c r="F10" s="13"/>
      <c r="G10" s="13" t="s">
        <v>40</v>
      </c>
      <c r="H10" s="14"/>
      <c r="I10" s="77" t="str">
        <f t="shared" si="0"/>
        <v/>
      </c>
      <c r="J10" s="10"/>
      <c r="K10" s="55">
        <v>0.15</v>
      </c>
      <c r="L10" s="65"/>
      <c r="M10" s="61">
        <f t="shared" si="1"/>
        <v>1.9999999999999998</v>
      </c>
      <c r="N10" s="62">
        <f>IF(D10="",IF(E10&lt;&gt;"",1,0)+IF(F10&lt;&gt;"",1,0)+IF(G10&lt;&gt;"",1,0)+IF(H10&lt;&gt;"",1,0),0)</f>
        <v>1</v>
      </c>
      <c r="O10" s="63">
        <f>IF(D10&lt;&gt;"",0,IF(E10="",(M10/(K10*20)),0.02+(M10/(K10*20))))</f>
        <v>0.66666666666666663</v>
      </c>
      <c r="P10" s="63">
        <f t="shared" si="4"/>
        <v>0.15</v>
      </c>
      <c r="Q10" s="85">
        <f t="shared" si="7"/>
        <v>0</v>
      </c>
      <c r="R10" s="85" t="b">
        <f t="shared" si="5"/>
        <v>1</v>
      </c>
      <c r="S10" s="62">
        <f t="shared" si="6"/>
        <v>0</v>
      </c>
    </row>
    <row r="11" spans="1:20" ht="13.5" customHeight="1">
      <c r="A11" s="123" t="s">
        <v>44</v>
      </c>
      <c r="B11" s="124"/>
      <c r="C11" s="124"/>
      <c r="D11" s="124"/>
      <c r="E11" s="124"/>
      <c r="F11" s="124"/>
      <c r="G11" s="124"/>
      <c r="H11" s="125"/>
      <c r="J11" s="11"/>
      <c r="K11" s="56">
        <v>0.4</v>
      </c>
      <c r="M11" s="64">
        <f>IF(N11=1,SUMPRODUCT(M12:M21,N12:N21)/SUMPRODUCT(K12:K21,N12:N21),0)</f>
        <v>14.266666666666667</v>
      </c>
      <c r="N11" s="62">
        <f>IF(SUM(N12:N21)=0,0,1)</f>
        <v>1</v>
      </c>
      <c r="P11" s="63">
        <f>SUM(P12:P21)</f>
        <v>0.99999999999999989</v>
      </c>
      <c r="R11" s="85" t="e">
        <f>OR(R5=FALSE,R7=FALSE,R8=FALSE,R9=FALSE,#REF!=FALSE,R10=FALSE)</f>
        <v>#REF!</v>
      </c>
      <c r="S11" s="62">
        <f t="shared" si="6"/>
        <v>0</v>
      </c>
    </row>
    <row r="12" spans="1:20" ht="13.5" customHeight="1">
      <c r="A12" s="131" t="s">
        <v>46</v>
      </c>
      <c r="B12" s="129" t="s">
        <v>68</v>
      </c>
      <c r="C12" s="94" t="s">
        <v>63</v>
      </c>
      <c r="D12" s="48"/>
      <c r="E12" s="49"/>
      <c r="F12" s="49"/>
      <c r="G12" s="50"/>
      <c r="H12" s="51" t="s">
        <v>40</v>
      </c>
      <c r="I12" s="77" t="str">
        <f t="shared" si="0"/>
        <v/>
      </c>
      <c r="J12" s="10"/>
      <c r="K12" s="55">
        <v>0.1</v>
      </c>
      <c r="M12" s="61">
        <f t="shared" ref="M12:M21" si="8">IF(H12&lt;&gt;"",1,IF(G12&lt;&gt;"",2/3,IF(F12&lt;&gt;"",1/3,0)))*K12*20</f>
        <v>2</v>
      </c>
      <c r="N12" s="62">
        <f t="shared" ref="N12:N21" si="9">IF(D12="",IF(E12&lt;&gt;"",1,0)+IF(F12&lt;&gt;"",1,0)+IF(G12&lt;&gt;"",1,0)+IF(H12&lt;&gt;"",1,0),0)</f>
        <v>1</v>
      </c>
      <c r="O12" s="63">
        <f t="shared" ref="O12:O21" si="10">IF(D12&lt;&gt;"",0,IF(E12="",(M12/(K12*20)),0.02+(M12/(K12*20))))</f>
        <v>1</v>
      </c>
      <c r="P12" s="63">
        <f t="shared" ref="P12:P21" si="11">IF(D12&lt;&gt;"",0,K12)</f>
        <v>0.1</v>
      </c>
      <c r="Q12" s="85">
        <f t="shared" si="7"/>
        <v>0</v>
      </c>
      <c r="R12" s="85" t="b">
        <f t="shared" ref="R12:R21" si="12">IF(D12="",OR(E12&lt;&gt;"",F12&lt;&gt;"",G12&lt;&gt;"",H12&lt;&gt;""),0)</f>
        <v>1</v>
      </c>
      <c r="S12" s="62">
        <f t="shared" si="6"/>
        <v>0</v>
      </c>
      <c r="T12" s="87"/>
    </row>
    <row r="13" spans="1:20" ht="13.5" customHeight="1">
      <c r="A13" s="132"/>
      <c r="B13" s="130"/>
      <c r="C13" s="90" t="s">
        <v>64</v>
      </c>
      <c r="D13" s="44"/>
      <c r="E13" s="25"/>
      <c r="F13" s="25" t="s">
        <v>40</v>
      </c>
      <c r="G13" s="26"/>
      <c r="H13" s="43"/>
      <c r="I13" s="77" t="str">
        <f t="shared" si="0"/>
        <v/>
      </c>
      <c r="J13" s="10"/>
      <c r="K13" s="55">
        <v>0.1</v>
      </c>
      <c r="M13" s="61">
        <f t="shared" si="8"/>
        <v>0.66666666666666663</v>
      </c>
      <c r="N13" s="62">
        <f t="shared" si="9"/>
        <v>1</v>
      </c>
      <c r="O13" s="63">
        <f t="shared" si="10"/>
        <v>0.33333333333333331</v>
      </c>
      <c r="P13" s="63">
        <f t="shared" si="11"/>
        <v>0.1</v>
      </c>
      <c r="Q13" s="85">
        <f t="shared" si="7"/>
        <v>0</v>
      </c>
      <c r="R13" s="85" t="b">
        <f t="shared" si="12"/>
        <v>1</v>
      </c>
      <c r="S13" s="62">
        <f t="shared" si="6"/>
        <v>0</v>
      </c>
    </row>
    <row r="14" spans="1:20" ht="13.5" customHeight="1">
      <c r="A14" s="132"/>
      <c r="B14" s="130"/>
      <c r="C14" s="94" t="s">
        <v>65</v>
      </c>
      <c r="D14" s="48"/>
      <c r="E14" s="49"/>
      <c r="F14" s="49"/>
      <c r="G14" s="50" t="s">
        <v>40</v>
      </c>
      <c r="H14" s="52"/>
      <c r="I14" s="77" t="str">
        <f t="shared" si="0"/>
        <v/>
      </c>
      <c r="J14" s="10"/>
      <c r="K14" s="55">
        <v>0.1</v>
      </c>
      <c r="M14" s="61">
        <f t="shared" si="8"/>
        <v>1.3333333333333333</v>
      </c>
      <c r="N14" s="62">
        <f t="shared" si="9"/>
        <v>1</v>
      </c>
      <c r="O14" s="63">
        <f t="shared" si="10"/>
        <v>0.66666666666666663</v>
      </c>
      <c r="P14" s="63">
        <f t="shared" si="11"/>
        <v>0.1</v>
      </c>
      <c r="Q14" s="85">
        <f t="shared" si="7"/>
        <v>0</v>
      </c>
      <c r="R14" s="85" t="b">
        <f t="shared" si="12"/>
        <v>1</v>
      </c>
      <c r="S14" s="62">
        <f t="shared" si="6"/>
        <v>0</v>
      </c>
    </row>
    <row r="15" spans="1:20">
      <c r="A15" s="132"/>
      <c r="B15" s="130"/>
      <c r="C15" s="90" t="s">
        <v>66</v>
      </c>
      <c r="D15" s="44"/>
      <c r="E15" s="25"/>
      <c r="F15" s="25"/>
      <c r="G15" s="26" t="s">
        <v>40</v>
      </c>
      <c r="H15" s="43"/>
      <c r="I15" s="77" t="str">
        <f t="shared" si="0"/>
        <v/>
      </c>
      <c r="J15" s="10"/>
      <c r="K15" s="55">
        <v>0.12</v>
      </c>
      <c r="M15" s="61">
        <f t="shared" si="8"/>
        <v>1.5999999999999996</v>
      </c>
      <c r="N15" s="62">
        <f t="shared" si="9"/>
        <v>1</v>
      </c>
      <c r="O15" s="63">
        <f t="shared" si="10"/>
        <v>0.66666666666666652</v>
      </c>
      <c r="P15" s="63">
        <f t="shared" si="11"/>
        <v>0.12</v>
      </c>
      <c r="Q15" s="85">
        <f t="shared" si="7"/>
        <v>0</v>
      </c>
      <c r="R15" s="85" t="b">
        <f t="shared" si="12"/>
        <v>1</v>
      </c>
      <c r="S15" s="62">
        <f t="shared" si="6"/>
        <v>0</v>
      </c>
    </row>
    <row r="16" spans="1:20">
      <c r="A16" s="132"/>
      <c r="B16" s="130"/>
      <c r="C16" s="94" t="s">
        <v>67</v>
      </c>
      <c r="D16" s="48"/>
      <c r="E16" s="49"/>
      <c r="F16" s="49"/>
      <c r="G16" s="50" t="s">
        <v>40</v>
      </c>
      <c r="H16" s="52"/>
      <c r="I16" s="77" t="str">
        <f t="shared" si="0"/>
        <v/>
      </c>
      <c r="J16" s="10"/>
      <c r="K16" s="55">
        <v>0.1</v>
      </c>
      <c r="M16" s="61">
        <f t="shared" si="8"/>
        <v>1.3333333333333333</v>
      </c>
      <c r="N16" s="62">
        <f t="shared" si="9"/>
        <v>1</v>
      </c>
      <c r="O16" s="63">
        <f t="shared" si="10"/>
        <v>0.66666666666666663</v>
      </c>
      <c r="P16" s="63">
        <f t="shared" si="11"/>
        <v>0.1</v>
      </c>
      <c r="Q16" s="85">
        <f t="shared" si="7"/>
        <v>0</v>
      </c>
      <c r="R16" s="85" t="b">
        <f t="shared" si="12"/>
        <v>1</v>
      </c>
      <c r="S16" s="62">
        <f t="shared" si="6"/>
        <v>0</v>
      </c>
    </row>
    <row r="17" spans="1:19">
      <c r="A17" s="131" t="s">
        <v>47</v>
      </c>
      <c r="B17" s="126" t="s">
        <v>69</v>
      </c>
      <c r="C17" s="89" t="s">
        <v>58</v>
      </c>
      <c r="D17" s="23"/>
      <c r="E17" s="25"/>
      <c r="F17" s="25"/>
      <c r="G17" s="25"/>
      <c r="H17" s="28" t="s">
        <v>40</v>
      </c>
      <c r="I17" s="77" t="str">
        <f t="shared" si="0"/>
        <v/>
      </c>
      <c r="J17" s="10"/>
      <c r="K17" s="55">
        <v>0.08</v>
      </c>
      <c r="M17" s="61">
        <f t="shared" si="8"/>
        <v>1.6</v>
      </c>
      <c r="N17" s="62">
        <f t="shared" si="9"/>
        <v>1</v>
      </c>
      <c r="O17" s="63">
        <f t="shared" si="10"/>
        <v>1</v>
      </c>
      <c r="P17" s="63">
        <f t="shared" si="11"/>
        <v>0.08</v>
      </c>
      <c r="Q17" s="85">
        <f t="shared" si="7"/>
        <v>0</v>
      </c>
      <c r="R17" s="85" t="b">
        <f t="shared" si="12"/>
        <v>1</v>
      </c>
      <c r="S17" s="62">
        <f t="shared" si="6"/>
        <v>0</v>
      </c>
    </row>
    <row r="18" spans="1:19" ht="13.5" customHeight="1">
      <c r="A18" s="132"/>
      <c r="B18" s="127"/>
      <c r="C18" s="88" t="s">
        <v>59</v>
      </c>
      <c r="D18" s="47"/>
      <c r="E18" s="49"/>
      <c r="F18" s="49"/>
      <c r="G18" s="49" t="s">
        <v>40</v>
      </c>
      <c r="H18" s="53"/>
      <c r="I18" s="77" t="str">
        <f t="shared" si="0"/>
        <v/>
      </c>
      <c r="J18" s="10"/>
      <c r="K18" s="55">
        <v>0.12</v>
      </c>
      <c r="M18" s="61">
        <f t="shared" si="8"/>
        <v>1.5999999999999996</v>
      </c>
      <c r="N18" s="62">
        <f t="shared" si="9"/>
        <v>1</v>
      </c>
      <c r="O18" s="63">
        <f t="shared" si="10"/>
        <v>0.66666666666666652</v>
      </c>
      <c r="P18" s="63">
        <f t="shared" si="11"/>
        <v>0.12</v>
      </c>
      <c r="Q18" s="85">
        <f t="shared" si="7"/>
        <v>0</v>
      </c>
      <c r="R18" s="85" t="b">
        <f t="shared" si="12"/>
        <v>1</v>
      </c>
      <c r="S18" s="62">
        <f t="shared" si="6"/>
        <v>0</v>
      </c>
    </row>
    <row r="19" spans="1:19" ht="13.5" customHeight="1">
      <c r="A19" s="132"/>
      <c r="B19" s="127"/>
      <c r="C19" s="89" t="s">
        <v>60</v>
      </c>
      <c r="D19" s="23"/>
      <c r="E19" s="25"/>
      <c r="F19" s="25"/>
      <c r="G19" s="25"/>
      <c r="H19" s="28" t="s">
        <v>40</v>
      </c>
      <c r="I19" s="77" t="str">
        <f t="shared" si="0"/>
        <v/>
      </c>
      <c r="J19" s="10"/>
      <c r="K19" s="55">
        <v>0.08</v>
      </c>
      <c r="M19" s="61">
        <f t="shared" si="8"/>
        <v>1.6</v>
      </c>
      <c r="N19" s="62">
        <f t="shared" si="9"/>
        <v>1</v>
      </c>
      <c r="O19" s="63">
        <f t="shared" si="10"/>
        <v>1</v>
      </c>
      <c r="P19" s="63">
        <f t="shared" si="11"/>
        <v>0.08</v>
      </c>
      <c r="Q19" s="85">
        <f t="shared" si="7"/>
        <v>0</v>
      </c>
      <c r="R19" s="85" t="b">
        <f t="shared" si="12"/>
        <v>1</v>
      </c>
      <c r="S19" s="62">
        <f t="shared" si="6"/>
        <v>0</v>
      </c>
    </row>
    <row r="20" spans="1:19" ht="13.5" customHeight="1">
      <c r="A20" s="132"/>
      <c r="B20" s="127"/>
      <c r="C20" s="89" t="s">
        <v>61</v>
      </c>
      <c r="D20" s="23"/>
      <c r="E20" s="25"/>
      <c r="F20" s="25"/>
      <c r="G20" s="25"/>
      <c r="H20" s="28" t="s">
        <v>40</v>
      </c>
      <c r="I20" s="77" t="str">
        <f t="shared" si="0"/>
        <v/>
      </c>
      <c r="J20" s="10"/>
      <c r="K20" s="55">
        <v>0.09</v>
      </c>
      <c r="M20" s="61">
        <f t="shared" si="8"/>
        <v>1.7999999999999998</v>
      </c>
      <c r="N20" s="62">
        <f t="shared" si="9"/>
        <v>1</v>
      </c>
      <c r="O20" s="63">
        <f t="shared" si="10"/>
        <v>1</v>
      </c>
      <c r="P20" s="63">
        <f t="shared" si="11"/>
        <v>0.09</v>
      </c>
      <c r="Q20" s="85">
        <f t="shared" si="7"/>
        <v>0</v>
      </c>
      <c r="R20" s="85" t="b">
        <f t="shared" si="12"/>
        <v>1</v>
      </c>
      <c r="S20" s="62">
        <f t="shared" si="6"/>
        <v>0</v>
      </c>
    </row>
    <row r="21" spans="1:19" ht="13.5" customHeight="1" thickBot="1">
      <c r="A21" s="132"/>
      <c r="B21" s="127"/>
      <c r="C21" s="93" t="s">
        <v>62</v>
      </c>
      <c r="D21" s="47"/>
      <c r="E21" s="49"/>
      <c r="F21" s="49" t="s">
        <v>40</v>
      </c>
      <c r="G21" s="49"/>
      <c r="H21" s="53"/>
      <c r="I21" s="77" t="str">
        <f t="shared" si="0"/>
        <v/>
      </c>
      <c r="J21" s="10"/>
      <c r="K21" s="55">
        <v>0.11</v>
      </c>
      <c r="M21" s="61">
        <f t="shared" si="8"/>
        <v>0.73333333333333339</v>
      </c>
      <c r="N21" s="62">
        <f t="shared" si="9"/>
        <v>1</v>
      </c>
      <c r="O21" s="63">
        <f t="shared" si="10"/>
        <v>0.33333333333333331</v>
      </c>
      <c r="P21" s="63">
        <f t="shared" si="11"/>
        <v>0.11</v>
      </c>
      <c r="Q21" s="85">
        <f t="shared" si="7"/>
        <v>0</v>
      </c>
      <c r="R21" s="85" t="b">
        <f t="shared" si="12"/>
        <v>1</v>
      </c>
      <c r="S21" s="62">
        <f t="shared" si="6"/>
        <v>0</v>
      </c>
    </row>
    <row r="22" spans="1:19" ht="13.5" customHeight="1">
      <c r="A22" s="123" t="s">
        <v>45</v>
      </c>
      <c r="B22" s="124"/>
      <c r="C22" s="124"/>
      <c r="D22" s="124"/>
      <c r="E22" s="124"/>
      <c r="F22" s="124"/>
      <c r="G22" s="124"/>
      <c r="H22" s="125"/>
      <c r="J22" s="11"/>
      <c r="K22" s="56">
        <v>0.2</v>
      </c>
      <c r="M22" s="64">
        <f>IF(N22=1,SUMPRODUCT(M23:M28,N23:N28)/SUMPRODUCT(K23:K28,N23:N28),0)</f>
        <v>12.666666666666666</v>
      </c>
      <c r="N22" s="62">
        <f>IF(SUM(N23:N28)=0,0,1)</f>
        <v>1</v>
      </c>
      <c r="P22" s="63">
        <f>SUM(P23:P28)</f>
        <v>1</v>
      </c>
      <c r="R22" s="85" t="e">
        <f>OR(R12=FALSE,R13=FALSE,R14=FALSE,R15=FALSE,R16=FALSE,R17=FALSE,R18=FALSE,R19=FALSE,#REF!=FALSE,R20=FALSE,R21=FALSE,#REF!=FALSE)</f>
        <v>#REF!</v>
      </c>
      <c r="S22" s="62">
        <f t="shared" si="6"/>
        <v>0</v>
      </c>
    </row>
    <row r="23" spans="1:19">
      <c r="A23" s="131" t="s">
        <v>48</v>
      </c>
      <c r="B23" s="126" t="s">
        <v>70</v>
      </c>
      <c r="C23" s="94" t="s">
        <v>27</v>
      </c>
      <c r="D23" s="47"/>
      <c r="E23" s="49"/>
      <c r="F23" s="49"/>
      <c r="G23" s="49" t="s">
        <v>40</v>
      </c>
      <c r="H23" s="51"/>
      <c r="I23" s="77" t="str">
        <f t="shared" si="0"/>
        <v/>
      </c>
      <c r="J23" s="10"/>
      <c r="K23" s="55">
        <v>0.1</v>
      </c>
      <c r="M23" s="61">
        <f t="shared" ref="M23:M28" si="13">IF(H23&lt;&gt;"",1,IF(G23&lt;&gt;"",2/3,IF(F23&lt;&gt;"",1/3,0)))*K23*20</f>
        <v>1.3333333333333333</v>
      </c>
      <c r="N23" s="62">
        <f t="shared" ref="N23:N28" si="14">IF(D23="",IF(E23&lt;&gt;"",1,0)+IF(F23&lt;&gt;"",1,0)+IF(G23&lt;&gt;"",1,0)+IF(H23&lt;&gt;"",1,0),0)</f>
        <v>1</v>
      </c>
      <c r="O23" s="63">
        <f t="shared" ref="O23:O28" si="15">IF(D23&lt;&gt;"",0,IF(E23="",(M23/(K23*20)),0.02+(M23/(K23*20))))</f>
        <v>0.66666666666666663</v>
      </c>
      <c r="P23" s="63">
        <f t="shared" ref="P23:P28" si="16">IF(D23&lt;&gt;"",0,K23)</f>
        <v>0.1</v>
      </c>
      <c r="Q23" s="85">
        <f t="shared" si="7"/>
        <v>0</v>
      </c>
      <c r="R23" s="85" t="b">
        <f t="shared" ref="R23:R28" si="17">IF(D23="",OR(E23&lt;&gt;"",F23&lt;&gt;"",G23&lt;&gt;"",H23&lt;&gt;""),0)</f>
        <v>1</v>
      </c>
      <c r="S23" s="62">
        <f t="shared" si="6"/>
        <v>0</v>
      </c>
    </row>
    <row r="24" spans="1:19">
      <c r="A24" s="132"/>
      <c r="B24" s="127"/>
      <c r="C24" s="95" t="s">
        <v>28</v>
      </c>
      <c r="D24" s="23"/>
      <c r="E24" s="25"/>
      <c r="F24" s="25"/>
      <c r="G24" s="25" t="s">
        <v>40</v>
      </c>
      <c r="H24" s="27"/>
      <c r="I24" s="77" t="str">
        <f t="shared" si="0"/>
        <v/>
      </c>
      <c r="J24" s="10"/>
      <c r="K24" s="55">
        <v>0.15</v>
      </c>
      <c r="M24" s="61">
        <f t="shared" si="13"/>
        <v>1.9999999999999998</v>
      </c>
      <c r="N24" s="62">
        <f t="shared" si="14"/>
        <v>1</v>
      </c>
      <c r="O24" s="63">
        <f t="shared" si="15"/>
        <v>0.66666666666666663</v>
      </c>
      <c r="P24" s="63">
        <f t="shared" si="16"/>
        <v>0.15</v>
      </c>
      <c r="Q24" s="85">
        <f t="shared" si="7"/>
        <v>0</v>
      </c>
      <c r="R24" s="85" t="b">
        <f t="shared" si="17"/>
        <v>1</v>
      </c>
      <c r="S24" s="62">
        <f t="shared" si="6"/>
        <v>0</v>
      </c>
    </row>
    <row r="25" spans="1:19">
      <c r="A25" s="132"/>
      <c r="B25" s="127"/>
      <c r="C25" s="94" t="s">
        <v>29</v>
      </c>
      <c r="D25" s="47"/>
      <c r="E25" s="49"/>
      <c r="F25" s="49" t="s">
        <v>40</v>
      </c>
      <c r="G25" s="49"/>
      <c r="H25" s="51"/>
      <c r="I25" s="77" t="str">
        <f t="shared" si="0"/>
        <v/>
      </c>
      <c r="J25" s="10"/>
      <c r="K25" s="55">
        <v>0.15</v>
      </c>
      <c r="M25" s="61">
        <f t="shared" si="13"/>
        <v>0.99999999999999989</v>
      </c>
      <c r="N25" s="62">
        <f t="shared" si="14"/>
        <v>1</v>
      </c>
      <c r="O25" s="63">
        <f t="shared" si="15"/>
        <v>0.33333333333333331</v>
      </c>
      <c r="P25" s="63">
        <f t="shared" si="16"/>
        <v>0.15</v>
      </c>
      <c r="Q25" s="85">
        <f t="shared" si="7"/>
        <v>0</v>
      </c>
      <c r="R25" s="85" t="b">
        <f t="shared" si="17"/>
        <v>1</v>
      </c>
      <c r="S25" s="62">
        <f t="shared" si="6"/>
        <v>0</v>
      </c>
    </row>
    <row r="26" spans="1:19">
      <c r="A26" s="131" t="s">
        <v>49</v>
      </c>
      <c r="B26" s="143" t="s">
        <v>71</v>
      </c>
      <c r="C26" s="94" t="s">
        <v>72</v>
      </c>
      <c r="D26" s="47"/>
      <c r="E26" s="45"/>
      <c r="F26" s="45"/>
      <c r="G26" s="45"/>
      <c r="H26" s="54" t="s">
        <v>40</v>
      </c>
      <c r="I26" s="77" t="str">
        <f t="shared" si="0"/>
        <v/>
      </c>
      <c r="J26" s="10"/>
      <c r="K26" s="55">
        <v>0.25</v>
      </c>
      <c r="M26" s="61">
        <f t="shared" si="13"/>
        <v>5</v>
      </c>
      <c r="N26" s="62">
        <f t="shared" si="14"/>
        <v>1</v>
      </c>
      <c r="O26" s="63">
        <f t="shared" si="15"/>
        <v>1</v>
      </c>
      <c r="P26" s="63">
        <f t="shared" si="16"/>
        <v>0.25</v>
      </c>
      <c r="Q26" s="85">
        <f t="shared" si="7"/>
        <v>0</v>
      </c>
      <c r="R26" s="85" t="b">
        <f t="shared" si="17"/>
        <v>1</v>
      </c>
      <c r="S26" s="62">
        <f t="shared" si="6"/>
        <v>0</v>
      </c>
    </row>
    <row r="27" spans="1:19">
      <c r="A27" s="132"/>
      <c r="B27" s="144"/>
      <c r="C27" s="90" t="s">
        <v>73</v>
      </c>
      <c r="D27" s="23"/>
      <c r="E27" s="13"/>
      <c r="F27" s="13"/>
      <c r="G27" s="13" t="s">
        <v>40</v>
      </c>
      <c r="H27" s="15"/>
      <c r="I27" s="77" t="str">
        <f t="shared" si="0"/>
        <v/>
      </c>
      <c r="J27" s="10"/>
      <c r="K27" s="55">
        <v>0.15</v>
      </c>
      <c r="M27" s="61">
        <f t="shared" si="13"/>
        <v>1.9999999999999998</v>
      </c>
      <c r="N27" s="62">
        <f t="shared" si="14"/>
        <v>1</v>
      </c>
      <c r="O27" s="63">
        <f t="shared" si="15"/>
        <v>0.66666666666666663</v>
      </c>
      <c r="P27" s="63">
        <f t="shared" si="16"/>
        <v>0.15</v>
      </c>
      <c r="Q27" s="85">
        <f t="shared" si="7"/>
        <v>0</v>
      </c>
      <c r="R27" s="85" t="b">
        <f t="shared" si="17"/>
        <v>1</v>
      </c>
      <c r="S27" s="62">
        <f t="shared" si="6"/>
        <v>0</v>
      </c>
    </row>
    <row r="28" spans="1:19" ht="13.5" thickBot="1">
      <c r="A28" s="132"/>
      <c r="B28" s="144"/>
      <c r="C28" s="94" t="s">
        <v>74</v>
      </c>
      <c r="D28" s="47"/>
      <c r="E28" s="45"/>
      <c r="F28" s="45" t="s">
        <v>40</v>
      </c>
      <c r="G28" s="45"/>
      <c r="H28" s="54"/>
      <c r="I28" s="77" t="str">
        <f t="shared" si="0"/>
        <v/>
      </c>
      <c r="J28" s="10"/>
      <c r="K28" s="55">
        <v>0.2</v>
      </c>
      <c r="M28" s="61">
        <f t="shared" si="13"/>
        <v>1.3333333333333333</v>
      </c>
      <c r="N28" s="62">
        <f t="shared" si="14"/>
        <v>1</v>
      </c>
      <c r="O28" s="63">
        <f t="shared" si="15"/>
        <v>0.33333333333333331</v>
      </c>
      <c r="P28" s="63">
        <f t="shared" si="16"/>
        <v>0.2</v>
      </c>
      <c r="Q28" s="85">
        <f t="shared" si="7"/>
        <v>0</v>
      </c>
      <c r="R28" s="85" t="b">
        <f t="shared" si="17"/>
        <v>1</v>
      </c>
      <c r="S28" s="62">
        <f t="shared" si="6"/>
        <v>0</v>
      </c>
    </row>
    <row r="29" spans="1:19">
      <c r="C29" s="12" t="s">
        <v>16</v>
      </c>
      <c r="E29" s="119">
        <f>P4*K4+P11*K11+P22*K22</f>
        <v>1</v>
      </c>
      <c r="F29" s="119"/>
      <c r="G29" s="119"/>
      <c r="H29" s="119"/>
      <c r="I29" s="84" t="s">
        <v>30</v>
      </c>
      <c r="J29" s="116" t="e">
        <f>IF(R30=TRUE,"ATTENTION, au moins une ligne à évaluer n'est pas renseignée","")</f>
        <v>#REF!</v>
      </c>
      <c r="K29" s="75">
        <f>K22+K11+K4</f>
        <v>1</v>
      </c>
      <c r="N29" s="62">
        <f>N4+N11+N22</f>
        <v>3</v>
      </c>
      <c r="P29" s="66"/>
      <c r="Q29" s="85">
        <f>SUM(Q5:Q28)</f>
        <v>0</v>
      </c>
      <c r="R29" s="85" t="e">
        <f>OR(R23=FALSE,R24=FALSE,R25=FALSE,#REF!=FALSE,R26=FALSE,R27=FALSE,R28=FALSE,#REF!=FALSE)</f>
        <v>#REF!</v>
      </c>
    </row>
    <row r="30" spans="1:19" ht="13.5" thickBot="1">
      <c r="C30" s="3" t="s">
        <v>26</v>
      </c>
      <c r="E30" s="140">
        <f>IF(E29&lt;50%,"!",IF(Q29&lt;&gt;0,"",(IF(N29&lt;&gt;0,(M4*K4+M11*K11+M22*K22)/(K4*N4+K11*N11+K22*N22),0))))</f>
        <v>12.64</v>
      </c>
      <c r="F30" s="140"/>
      <c r="G30" s="151" t="s">
        <v>8</v>
      </c>
      <c r="H30" s="151"/>
      <c r="I30" s="82" t="s">
        <v>31</v>
      </c>
      <c r="J30" s="116"/>
      <c r="R30" s="85" t="e">
        <f>OR(R11=TRUE,R22=TRUE,R29=TRUE)</f>
        <v>#REF!</v>
      </c>
    </row>
    <row r="31" spans="1:19" ht="13.5" thickBot="1">
      <c r="C31" s="3" t="s">
        <v>17</v>
      </c>
      <c r="E31" s="134"/>
      <c r="F31" s="135"/>
      <c r="G31" s="136" t="s">
        <v>6</v>
      </c>
      <c r="H31" s="137"/>
      <c r="I31" s="82" t="s">
        <v>31</v>
      </c>
      <c r="J31" s="116"/>
    </row>
    <row r="32" spans="1:19" ht="18.75" customHeight="1" thickBot="1">
      <c r="C32" s="3" t="s">
        <v>18</v>
      </c>
      <c r="E32" s="146">
        <f>IF(Q29&lt;&gt;0,"",E31*Identification!B4)</f>
        <v>0</v>
      </c>
      <c r="F32" s="147"/>
      <c r="G32" s="138">
        <f>(20*Identification!B4)</f>
        <v>40</v>
      </c>
      <c r="H32" s="139"/>
      <c r="I32" s="82" t="s">
        <v>31</v>
      </c>
      <c r="J32" s="116"/>
    </row>
    <row r="33" spans="1:10">
      <c r="A33" s="145" t="s">
        <v>23</v>
      </c>
      <c r="B33" s="145"/>
      <c r="C33" s="145"/>
      <c r="D33" s="145"/>
      <c r="E33" s="145"/>
      <c r="F33" s="145"/>
      <c r="G33" s="145"/>
      <c r="H33" s="145"/>
      <c r="I33" s="82" t="s">
        <v>31</v>
      </c>
      <c r="J33" s="116"/>
    </row>
    <row r="34" spans="1:10" ht="13.5" thickBot="1">
      <c r="A34" s="115" t="s">
        <v>33</v>
      </c>
      <c r="B34" s="115"/>
      <c r="C34" s="115"/>
      <c r="D34" s="115"/>
      <c r="E34" s="115"/>
      <c r="F34" s="115"/>
      <c r="G34" s="115"/>
      <c r="H34" s="115"/>
      <c r="I34" s="86" t="s">
        <v>32</v>
      </c>
      <c r="J34" s="116"/>
    </row>
    <row r="35" spans="1:10" ht="15" customHeight="1">
      <c r="A35" s="152" t="s">
        <v>9</v>
      </c>
      <c r="B35" s="153"/>
      <c r="C35" s="157" t="str">
        <f>(IF(Q29&gt;0,"Attention erreur de saisie ! Voir ci-dessus",""))</f>
        <v/>
      </c>
      <c r="D35" s="157"/>
      <c r="E35" s="157"/>
      <c r="F35" s="157"/>
      <c r="G35" s="157"/>
      <c r="H35" s="158"/>
      <c r="I35" s="78"/>
    </row>
    <row r="36" spans="1:10" ht="84.75" customHeight="1" thickBot="1">
      <c r="A36" s="154"/>
      <c r="B36" s="155"/>
      <c r="C36" s="155"/>
      <c r="D36" s="155"/>
      <c r="E36" s="155"/>
      <c r="F36" s="155"/>
      <c r="G36" s="155"/>
      <c r="H36" s="156"/>
      <c r="I36" s="79"/>
    </row>
    <row r="37" spans="1:10" ht="7.5" customHeight="1" thickBot="1">
      <c r="A37" s="18"/>
      <c r="B37" s="7"/>
      <c r="C37" s="7"/>
      <c r="D37" s="16"/>
      <c r="E37" s="16"/>
      <c r="F37" s="16"/>
      <c r="G37" s="16"/>
      <c r="H37" s="16"/>
      <c r="I37" s="80"/>
    </row>
    <row r="38" spans="1:10" ht="12.75" customHeight="1">
      <c r="A38" s="141" t="s">
        <v>21</v>
      </c>
      <c r="B38" s="142"/>
      <c r="C38" s="8" t="s">
        <v>13</v>
      </c>
      <c r="D38" s="20"/>
      <c r="E38" s="148" t="s">
        <v>14</v>
      </c>
      <c r="F38" s="149"/>
      <c r="G38" s="149"/>
      <c r="H38" s="150"/>
      <c r="I38" s="78"/>
    </row>
    <row r="39" spans="1:10" ht="30.95" customHeight="1" thickBot="1">
      <c r="A39" s="161"/>
      <c r="B39" s="162"/>
      <c r="C39" s="4"/>
      <c r="D39" s="21"/>
      <c r="E39" s="112"/>
      <c r="F39" s="113"/>
      <c r="G39" s="113"/>
      <c r="H39" s="114"/>
      <c r="I39" s="81"/>
    </row>
    <row r="40" spans="1:10" ht="30.95" customHeight="1">
      <c r="A40" s="161"/>
      <c r="B40" s="162"/>
      <c r="C40" s="4"/>
      <c r="D40" s="21"/>
    </row>
    <row r="41" spans="1:10" ht="30.95" customHeight="1">
      <c r="A41" s="163"/>
      <c r="B41" s="164"/>
      <c r="C41" s="4"/>
      <c r="D41" s="21"/>
    </row>
    <row r="42" spans="1:10" ht="30.95" customHeight="1">
      <c r="A42" s="161"/>
      <c r="B42" s="162"/>
      <c r="C42" s="4"/>
      <c r="D42" s="21"/>
    </row>
    <row r="43" spans="1:10" ht="30.95" customHeight="1" thickBot="1">
      <c r="A43" s="159"/>
      <c r="B43" s="160"/>
      <c r="C43" s="5"/>
      <c r="D43" s="21"/>
      <c r="E43" s="111">
        <f ca="1">TODAY()</f>
        <v>43185</v>
      </c>
      <c r="F43" s="111"/>
      <c r="G43" s="111"/>
      <c r="H43" s="111"/>
      <c r="I43" s="83"/>
    </row>
    <row r="45" spans="1:10" ht="14.25">
      <c r="B45" s="22"/>
    </row>
  </sheetData>
  <mergeCells count="39">
    <mergeCell ref="A43:B43"/>
    <mergeCell ref="A39:B39"/>
    <mergeCell ref="A40:B40"/>
    <mergeCell ref="A42:B42"/>
    <mergeCell ref="A41:B41"/>
    <mergeCell ref="G31:H31"/>
    <mergeCell ref="G32:H32"/>
    <mergeCell ref="E30:F30"/>
    <mergeCell ref="A38:B38"/>
    <mergeCell ref="B26:B28"/>
    <mergeCell ref="A26:A28"/>
    <mergeCell ref="A33:H33"/>
    <mergeCell ref="E32:F32"/>
    <mergeCell ref="E38:H38"/>
    <mergeCell ref="G30:H30"/>
    <mergeCell ref="A35:B35"/>
    <mergeCell ref="A36:H36"/>
    <mergeCell ref="C35:H35"/>
    <mergeCell ref="B17:B21"/>
    <mergeCell ref="A17:A21"/>
    <mergeCell ref="A23:A25"/>
    <mergeCell ref="B23:B25"/>
    <mergeCell ref="E31:F31"/>
    <mergeCell ref="E43:H43"/>
    <mergeCell ref="E39:H39"/>
    <mergeCell ref="A34:H34"/>
    <mergeCell ref="J29:J34"/>
    <mergeCell ref="D2:H2"/>
    <mergeCell ref="A3:B3"/>
    <mergeCell ref="E29:H29"/>
    <mergeCell ref="A4:H4"/>
    <mergeCell ref="A11:H11"/>
    <mergeCell ref="A22:H22"/>
    <mergeCell ref="B5:B7"/>
    <mergeCell ref="B12:B16"/>
    <mergeCell ref="A5:A7"/>
    <mergeCell ref="A8:A10"/>
    <mergeCell ref="B8:B10"/>
    <mergeCell ref="A12:A16"/>
  </mergeCells>
  <phoneticPr fontId="6" type="noConversion"/>
  <printOptions horizontalCentered="1" verticalCentered="1"/>
  <pageMargins left="0.27559055118110237" right="0.19685039370078741" top="0.13" bottom="0.13" header="0.16" footer="0.15748031496062992"/>
  <pageSetup paperSize="9" scale="64" orientation="landscape" horizontalDpi="4294967293" r:id="rId1"/>
  <headerFooter alignWithMargins="0">
    <oddFooter>&amp;RPage 2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Identification</vt:lpstr>
      <vt:lpstr>Notation</vt:lpstr>
      <vt:lpstr>Identification!Zone_d_impression</vt:lpstr>
      <vt:lpstr>Notation!Zone_d_impression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 Ahmed HAMANI</dc:creator>
  <cp:lastModifiedBy>Acer</cp:lastModifiedBy>
  <cp:lastPrinted>2011-12-06T21:35:17Z</cp:lastPrinted>
  <dcterms:created xsi:type="dcterms:W3CDTF">2011-09-24T16:55:29Z</dcterms:created>
  <dcterms:modified xsi:type="dcterms:W3CDTF">2018-03-26T18:15:43Z</dcterms:modified>
</cp:coreProperties>
</file>